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s" sheetId="2" state="visible" r:id="rId2"/>
    <sheet name="Inputs" sheetId="3" state="visible" r:id="rId3"/>
    <sheet name="Model" sheetId="4" state="visible" r:id="rId4"/>
    <sheet name="Projection" sheetId="5" state="visible" r:id="rId5"/>
    <sheet name="Sensitivity" sheetId="6" state="visible" r:id="rId6"/>
    <sheet name="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;(0.0%);&quot;-&quot;"/>
    <numFmt numFmtId="165" formatCode="#,##0.0000"/>
    <numFmt numFmtId="166" formatCode="#,##0;(#,##0);&quot;-&quot;"/>
    <numFmt numFmtId="167" formatCode="#,##0.00;(#,##0.00);&quot;-&quot;"/>
    <numFmt numFmtId="168" formatCode="&quot;R&quot;#,##0.00;(&quot;R&quot;#,##0.00);&quot;-&quot;"/>
    <numFmt numFmtId="169" formatCode="&quot;$&quot;#,##0.0000"/>
    <numFmt numFmtId="170" formatCode="&quot;R&quot;#,##0;(&quot;R&quot;#,##0);&quot;-&quot;"/>
    <numFmt numFmtId="171" formatCode="0.0&quot;x&quot;;(0.0&quot;x&quot;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b val="1"/>
      <color rgb="00FFFFFF"/>
    </font>
    <font>
      <name val="Arial"/>
      <color rgb="000000FF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00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vertical="center" wrapText="1"/>
    </xf>
    <xf numFmtId="166" fontId="6" fillId="0" borderId="0" pivotButton="0" quotePrefix="0" xfId="0"/>
    <xf numFmtId="168" fontId="6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1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  <xf numFmtId="4" fontId="5" fillId="0" borderId="0" pivotButton="0" quotePrefix="0" xfId="0"/>
    <xf numFmtId="0" fontId="5" fillId="0" borderId="0" pivotButton="0" quotePrefix="0" xfId="0"/>
    <xf numFmtId="4" fontId="7" fillId="0" borderId="0" pivotButton="0" quotePrefix="0" xfId="0"/>
    <xf numFmtId="164" fontId="5" fillId="0" borderId="0" pivotButton="0" quotePrefix="0" xfId="0"/>
    <xf numFmtId="164" fontId="7" fillId="0" borderId="0" pivotButton="0" quotePrefix="0" xfId="0"/>
    <xf numFmtId="4" fontId="5" fillId="3" borderId="0" pivotButton="0" quotePrefix="0" xfId="0"/>
    <xf numFmtId="164" fontId="5" fillId="3" borderId="0" pivotButton="0" quotePrefix="0" xfId="0"/>
    <xf numFmtId="165" fontId="5" fillId="0" borderId="0" pivotButton="0" quotePrefix="0" xfId="0"/>
    <xf numFmtId="165" fontId="7" fillId="0" borderId="0" pivotButton="0" quotePrefix="0" xfId="0"/>
    <xf numFmtId="165" fontId="5" fillId="3" borderId="0" pivotButton="0" quotePrefix="0" xfId="0"/>
    <xf numFmtId="0" fontId="2" fillId="4" borderId="0" pivotButton="0" quotePrefix="0" xfId="0"/>
    <xf numFmtId="0" fontId="7" fillId="4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9" fontId="6" fillId="0" borderId="0" pivotButton="0" quotePrefix="0" xfId="0"/>
    <xf numFmtId="166" fontId="3" fillId="0" borderId="0" pivotButton="0" quotePrefix="0" xfId="0"/>
    <xf numFmtId="164" fontId="3" fillId="0" borderId="0" pivotButton="0" quotePrefix="0" xfId="0"/>
    <xf numFmtId="168" fontId="3" fillId="0" borderId="0" pivotButton="0" quotePrefix="0" xfId="0"/>
    <xf numFmtId="170" fontId="3" fillId="0" borderId="0" pivotButton="0" quotePrefix="0" xfId="0"/>
    <xf numFmtId="167" fontId="3" fillId="0" borderId="0" pivotButton="0" quotePrefix="0" xfId="0"/>
    <xf numFmtId="171" fontId="3" fillId="0" borderId="0" pivotButton="0" quotePrefix="0" xfId="0"/>
    <xf numFmtId="0" fontId="2" fillId="0" borderId="0" pivotButton="0" quotePrefix="0" xfId="0"/>
    <xf numFmtId="1" fontId="3" fillId="0" borderId="0" pivotButton="0" quotePrefix="0" xfId="0"/>
    <xf numFmtId="170" fontId="7" fillId="0" borderId="0" pivotButton="0" quotePrefix="0" xfId="0"/>
    <xf numFmtId="166" fontId="7" fillId="0" borderId="0" pivotButton="0" quotePrefix="0" xfId="0"/>
    <xf numFmtId="168" fontId="7" fillId="0" borderId="0" pivotButton="0" quotePrefix="0" xfId="0"/>
    <xf numFmtId="170" fontId="5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cash, model (a)</a:t>
            </a:r>
          </a:p>
        </rich>
      </tx>
    </title>
    <plotArea>
      <lineChart>
        <grouping val="standard"/>
        <ser>
          <idx val="0"/>
          <order val="0"/>
          <tx>
            <v>Conservative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'Projection'!$B$5:$Y$5</f>
            </numRef>
          </cat>
          <val>
            <numRef>
              <f>'Projection'!$B$11:$Y$11</f>
            </numRef>
          </val>
        </ser>
        <ser>
          <idx val="1"/>
          <order val="1"/>
          <tx>
            <v>Base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'Projection'!$B$5:$Y$5</f>
            </numRef>
          </cat>
          <val>
            <numRef>
              <f>'Projection'!$B$27:$Y$27</f>
            </numRef>
          </val>
        </ser>
        <ser>
          <idx val="2"/>
          <order val="2"/>
          <tx>
            <v>Ambitious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'Projection'!$B$5:$Y$5</f>
            </numRef>
          </cat>
          <val>
            <numRef>
              <f>'Projection'!$B$43:$Y$43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Break-even MAU swing by input (Base)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'Sensitivity'!F4</f>
            </strRef>
          </tx>
          <spPr>
            <a:ln>
              <a:prstDash val="solid"/>
            </a:ln>
          </spPr>
          <cat>
            <numRef>
              <f>'Sensitivity'!$A$5:$A$13</f>
            </numRef>
          </cat>
          <val>
            <numRef>
              <f>'Sensitivity'!$F$5:$F$13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Tengo review: financial model</t>
        </is>
      </c>
    </row>
    <row r="2">
      <c r="A2" s="2" t="inlineStr">
        <is>
          <t>Prepared 2026-10-20 for docs/review/REPORT.pdf. A model of possibilities, not a forecast of results.</t>
        </is>
      </c>
    </row>
    <row r="3">
      <c r="A3" s="3" t="inlineStr"/>
    </row>
    <row r="4">
      <c r="A4" s="2" t="inlineStr">
        <is>
          <t>How it works</t>
        </is>
      </c>
    </row>
    <row r="5">
      <c r="A5" s="3" t="inlineStr">
        <is>
          <t>Inputs: every number the model uses, with low, base and high values, a source URL and access date, or the label Assumption.</t>
        </is>
      </c>
    </row>
    <row r="6">
      <c r="A6" s="3" t="inlineStr">
        <is>
          <t>Scenarios: Conservative uses the unfavourable end of every range, Base the central value, Ambitious the favourable end (column G gives the direction).</t>
        </is>
      </c>
    </row>
    <row r="7">
      <c r="A7" s="3" t="inlineStr">
        <is>
          <t>Model: market funnel, unit economics per active user, four business models, value to a bank, impact and break-even, for all three scenarios side by side.</t>
        </is>
      </c>
    </row>
    <row r="8">
      <c r="A8" s="3" t="inlineStr">
        <is>
          <t>Projection: 24 months for the recommended model (a, bank licence) in each scenario, with monthly and cumulative cash.</t>
        </is>
      </c>
    </row>
    <row r="9">
      <c r="A9" s="3" t="inlineStr">
        <is>
          <t>Sensitivity: tornado tables for break-even users and for the bank value case, and a two-way table of licence fee against fixed costs.</t>
        </is>
      </c>
    </row>
    <row r="10">
      <c r="A10" s="3" t="inlineStr">
        <is>
          <t>Metrics: product, forecast-quality, technical and impact metrics, with sources (test outputs and the backtest).</t>
        </is>
      </c>
    </row>
    <row r="11">
      <c r="A11" s="3" t="inlineStr"/>
    </row>
    <row r="12">
      <c r="A12" s="2" t="inlineStr">
        <is>
          <t>Colour code</t>
        </is>
      </c>
    </row>
    <row r="13">
      <c r="A13" s="3" t="inlineStr">
        <is>
          <t>Blue text: hard-coded inputs. Black text: formulas. Green text: links to another sheet. Yellow fill: key assumptions with no source.</t>
        </is>
      </c>
    </row>
    <row r="14">
      <c r="A14" s="3" t="inlineStr"/>
    </row>
    <row r="15">
      <c r="A15" s="2" t="inlineStr">
        <is>
          <t>Important</t>
        </is>
      </c>
    </row>
    <row r="16">
      <c r="A16" s="3" t="inlineStr">
        <is>
          <t>Nothing here is FNB internal data. Bank figures are from public reports. Every Assumption is a judgement with a range, and outcomes for a bank (fees, deposits, retention) are not facts.</t>
        </is>
      </c>
    </row>
    <row r="17">
      <c r="A17" s="3" t="inlineStr">
        <is>
          <t>Percentages are stored as fractions. Money is in South African rand unless the unit says USD.</t>
        </is>
      </c>
    </row>
    <row r="18">
      <c r="A18" s="3" t="inlineStr">
        <is>
          <t>The workbook is set to recalculate fully when opened.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Scenario summary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Output</t>
        </is>
      </c>
      <c r="B3" s="6" t="inlineStr">
        <is>
          <t>Conservative</t>
        </is>
      </c>
      <c r="C3" s="6" t="inlineStr">
        <is>
          <t>Base</t>
        </is>
      </c>
      <c r="D3" s="6" t="inlineStr">
        <is>
          <t>Ambitious</t>
        </is>
      </c>
    </row>
    <row r="4">
      <c r="A4" s="5" t="inlineStr">
        <is>
          <t>Serviceable market (people)</t>
        </is>
      </c>
      <c r="B4" s="7">
        <f>Model!B72</f>
        <v/>
      </c>
      <c r="C4" s="7">
        <f>Model!C72</f>
        <v/>
      </c>
      <c r="D4" s="7">
        <f>Model!D72</f>
        <v/>
      </c>
    </row>
    <row r="5">
      <c r="A5" s="5" t="inlineStr">
        <is>
          <t>Steady-state MAU, one partner bank</t>
        </is>
      </c>
      <c r="B5" s="7">
        <f>Model!B76</f>
        <v/>
      </c>
      <c r="C5" s="7">
        <f>Model!C76</f>
        <v/>
      </c>
      <c r="D5" s="7">
        <f>Model!D76</f>
        <v/>
      </c>
    </row>
    <row r="6">
      <c r="A6" s="5" t="inlineStr">
        <is>
          <t>Variable cost per MAU per month, embedded (ZAR)</t>
        </is>
      </c>
      <c r="B6" s="8">
        <f>Model!B84</f>
        <v/>
      </c>
      <c r="C6" s="8">
        <f>Model!C84</f>
        <v/>
      </c>
      <c r="D6" s="8">
        <f>Model!D84</f>
        <v/>
      </c>
    </row>
    <row r="7">
      <c r="A7" s="5" t="inlineStr">
        <is>
          <t>Fixed cost per month (ZAR)</t>
        </is>
      </c>
      <c r="B7" s="9">
        <f>Model!B87</f>
        <v/>
      </c>
      <c r="C7" s="9">
        <f>Model!C87</f>
        <v/>
      </c>
      <c r="D7" s="9">
        <f>Model!D87</f>
        <v/>
      </c>
    </row>
    <row r="8">
      <c r="A8" s="5" t="inlineStr">
        <is>
          <t>(a) Licence: contribution per MAU per month</t>
        </is>
      </c>
      <c r="B8" s="8">
        <f>Model!B105</f>
        <v/>
      </c>
      <c r="C8" s="8">
        <f>Model!C105</f>
        <v/>
      </c>
      <c r="D8" s="8">
        <f>Model!D105</f>
        <v/>
      </c>
    </row>
    <row r="9">
      <c r="A9" s="5" t="inlineStr">
        <is>
          <t>(a) Licence: MAU to break even</t>
        </is>
      </c>
      <c r="B9" s="7">
        <f>Model!B112</f>
        <v/>
      </c>
      <c r="C9" s="7">
        <f>Model!C112</f>
        <v/>
      </c>
      <c r="D9" s="7">
        <f>Model!D112</f>
        <v/>
      </c>
    </row>
    <row r="10">
      <c r="A10" s="5" t="inlineStr">
        <is>
          <t>(b) Revenue share: contribution per MAU per month</t>
        </is>
      </c>
      <c r="B10" s="8">
        <f>Model!B113</f>
        <v/>
      </c>
      <c r="C10" s="8">
        <f>Model!C113</f>
        <v/>
      </c>
      <c r="D10" s="8">
        <f>Model!D113</f>
        <v/>
      </c>
    </row>
    <row r="11">
      <c r="A11" s="5" t="inlineStr">
        <is>
          <t>(b) Revenue share: MAU to break even</t>
        </is>
      </c>
      <c r="B11" s="7">
        <f>Model!B120</f>
        <v/>
      </c>
      <c r="C11" s="7">
        <f>Model!C120</f>
        <v/>
      </c>
      <c r="D11" s="7">
        <f>Model!D120</f>
        <v/>
      </c>
    </row>
    <row r="12">
      <c r="A12" s="5" t="inlineStr">
        <is>
          <t>(c) Consumer: contribution per MAU per month</t>
        </is>
      </c>
      <c r="B12" s="8">
        <f>Model!B121</f>
        <v/>
      </c>
      <c r="C12" s="8">
        <f>Model!C121</f>
        <v/>
      </c>
      <c r="D12" s="8">
        <f>Model!D121</f>
        <v/>
      </c>
    </row>
    <row r="13">
      <c r="A13" s="5" t="inlineStr">
        <is>
          <t>(c) Consumer: LTV to CAC</t>
        </is>
      </c>
      <c r="B13" s="10">
        <f>Model!B126</f>
        <v/>
      </c>
      <c r="C13" s="10">
        <f>Model!C126</f>
        <v/>
      </c>
      <c r="D13" s="10">
        <f>Model!D126</f>
        <v/>
      </c>
    </row>
    <row r="14">
      <c r="A14" s="5" t="inlineStr">
        <is>
          <t>(d) Sponsored: contribution per user per month</t>
        </is>
      </c>
      <c r="B14" s="8">
        <f>Model!B129</f>
        <v/>
      </c>
      <c r="C14" s="8">
        <f>Model!C129</f>
        <v/>
      </c>
      <c r="D14" s="8">
        <f>Model!D129</f>
        <v/>
      </c>
    </row>
    <row r="15">
      <c r="A15" s="5" t="inlineStr">
        <is>
          <t>Bank value per MAU per year (ZAR)</t>
        </is>
      </c>
      <c r="B15" s="8">
        <f>Model!B95</f>
        <v/>
      </c>
      <c r="C15" s="8">
        <f>Model!C95</f>
        <v/>
      </c>
      <c r="D15" s="8">
        <f>Model!D95</f>
        <v/>
      </c>
    </row>
    <row r="16">
      <c r="A16" s="5" t="inlineStr">
        <is>
          <t>Bank value per rand of licence</t>
        </is>
      </c>
      <c r="B16" s="10">
        <f>Model!B98</f>
        <v/>
      </c>
      <c r="C16" s="10">
        <f>Model!C98</f>
        <v/>
      </c>
      <c r="D16" s="10">
        <f>Model!D98</f>
        <v/>
      </c>
    </row>
    <row r="17">
      <c r="A17" s="5" t="inlineStr">
        <is>
          <t>People reached per year</t>
        </is>
      </c>
      <c r="B17" s="7">
        <f>Model!B138</f>
        <v/>
      </c>
      <c r="C17" s="7">
        <f>Model!C138</f>
        <v/>
      </c>
      <c r="D17" s="7">
        <f>Model!D138</f>
        <v/>
      </c>
    </row>
    <row r="18">
      <c r="A18" s="5" t="inlineStr">
        <is>
          <t>Days of cover gained per year</t>
        </is>
      </c>
      <c r="B18" s="7">
        <f>Model!B140</f>
        <v/>
      </c>
      <c r="C18" s="7">
        <f>Model!C140</f>
        <v/>
      </c>
      <c r="D18" s="7">
        <f>Model!D140</f>
        <v/>
      </c>
    </row>
    <row r="19">
      <c r="A19" s="5" t="inlineStr">
        <is>
          <t>Fees avoided by users per year (ZAR)</t>
        </is>
      </c>
      <c r="B19" s="9">
        <f>Model!B142</f>
        <v/>
      </c>
      <c r="C19" s="9">
        <f>Model!C142</f>
        <v/>
      </c>
      <c r="D19" s="9">
        <f>Model!D142</f>
        <v/>
      </c>
    </row>
    <row r="20">
      <c r="A20" s="5" t="inlineStr">
        <is>
          <t>First profitable month, model (a)</t>
        </is>
      </c>
      <c r="B20" s="11">
        <f>Projection!B14</f>
        <v/>
      </c>
      <c r="C20" s="11">
        <f>Projection!B30</f>
        <v/>
      </c>
      <c r="D20" s="11">
        <f>Projection!B46</f>
        <v/>
      </c>
    </row>
    <row r="21">
      <c r="A21" s="5" t="inlineStr">
        <is>
          <t>Peak funding need, model (a) (ZAR)</t>
        </is>
      </c>
      <c r="B21" s="9">
        <f>Projection!B15</f>
        <v/>
      </c>
      <c r="C21" s="9">
        <f>Projection!B31</f>
        <v/>
      </c>
      <c r="D21" s="9">
        <f>Projection!B47</f>
        <v/>
      </c>
    </row>
    <row r="22">
      <c r="A22" s="5" t="inlineStr">
        <is>
          <t>Cumulative cash at month 24, model (a) (ZAR)</t>
        </is>
      </c>
      <c r="B22" s="9">
        <f>Projection!B16</f>
        <v/>
      </c>
      <c r="C22" s="9">
        <f>Projection!B32</f>
        <v/>
      </c>
      <c r="D22" s="9">
        <f>Projection!B48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18" customWidth="1" min="3" max="3"/>
    <col width="13" customWidth="1" min="4" max="4"/>
    <col width="13" customWidth="1" min="5" max="5"/>
    <col width="13" customWidth="1" min="6" max="6"/>
    <col width="10" customWidth="1" min="7" max="7"/>
    <col width="48" customWidth="1" min="8" max="8"/>
    <col width="12" customWidth="1" min="9" max="9"/>
    <col width="60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key</t>
        </is>
      </c>
      <c r="B1" s="6" t="inlineStr">
        <is>
          <t>description</t>
        </is>
      </c>
      <c r="C1" s="6" t="inlineStr">
        <is>
          <t>unit</t>
        </is>
      </c>
      <c r="D1" s="6" t="inlineStr">
        <is>
          <t>low</t>
        </is>
      </c>
      <c r="E1" s="6" t="inlineStr">
        <is>
          <t>base</t>
        </is>
      </c>
      <c r="F1" s="6" t="inlineStr">
        <is>
          <t>high</t>
        </is>
      </c>
      <c r="G1" s="6" t="inlineStr">
        <is>
          <t>direction</t>
        </is>
      </c>
      <c r="H1" s="6" t="inlineStr">
        <is>
          <t>source or Assumption</t>
        </is>
      </c>
      <c r="I1" s="6" t="inlineStr">
        <is>
          <t>access date</t>
        </is>
      </c>
      <c r="J1" s="6" t="inlineStr">
        <is>
          <t>notes</t>
        </is>
      </c>
      <c r="K1" s="6" t="inlineStr">
        <is>
          <t>Conservative</t>
        </is>
      </c>
      <c r="L1" s="6" t="inlineStr">
        <is>
          <t>Base</t>
        </is>
      </c>
      <c r="M1" s="6" t="inlineStr">
        <is>
          <t>Ambitious</t>
        </is>
      </c>
    </row>
    <row r="2">
      <c r="A2" s="12" t="inlineStr">
        <is>
          <t>pop_total</t>
        </is>
      </c>
      <c r="B2" s="13" t="inlineStr">
        <is>
          <t>South African mid-year population 2026</t>
        </is>
      </c>
      <c r="C2" s="5" t="inlineStr">
        <is>
          <t>people</t>
        </is>
      </c>
      <c r="D2" s="14" t="n">
        <v>63100945</v>
      </c>
      <c r="E2" s="14" t="n">
        <v>63522380</v>
      </c>
      <c r="F2" s="14" t="n">
        <v>63522380</v>
      </c>
      <c r="G2" s="15" t="inlineStr">
        <is>
          <t>+</t>
        </is>
      </c>
      <c r="H2" s="13" t="inlineStr">
        <is>
          <t>https://www.statssa.gov.za/publications/P0302/P03022026.pdf (Table 1)</t>
        </is>
      </c>
      <c r="I2" s="5" t="inlineStr">
        <is>
          <t>2026-10-20</t>
        </is>
      </c>
      <c r="J2" s="13" t="inlineStr">
        <is>
          <t>Low is the 2025 estimate from https://www.statssa.gov.za/?p=18613</t>
        </is>
      </c>
      <c r="K2" s="16">
        <f>IF($G2="+",MIN(D2,F2),MAX(D2,F2))</f>
        <v/>
      </c>
      <c r="L2" s="16">
        <f>E2</f>
        <v/>
      </c>
      <c r="M2" s="16">
        <f>IF($G2="+",MAX(D2,F2),MIN(D2,F2))</f>
        <v/>
      </c>
    </row>
    <row r="3">
      <c r="A3" s="12" t="inlineStr">
        <is>
          <t>pop_15plus</t>
        </is>
      </c>
      <c r="B3" s="13" t="inlineStr">
        <is>
          <t>Population aged 15 and over, 2026</t>
        </is>
      </c>
      <c r="C3" s="5" t="inlineStr">
        <is>
          <t>people</t>
        </is>
      </c>
      <c r="D3" s="14" t="n">
        <v>46700000</v>
      </c>
      <c r="E3" s="14" t="n">
        <v>47276319</v>
      </c>
      <c r="F3" s="14" t="n">
        <v>47276319</v>
      </c>
      <c r="G3" s="15" t="inlineStr">
        <is>
          <t>+</t>
        </is>
      </c>
      <c r="H3" s="13" t="inlineStr">
        <is>
          <t>Derived from https://www.statssa.gov.za/publications/P0302/P03022026.pdf (Table 5)</t>
        </is>
      </c>
      <c r="I3" s="5" t="inlineStr">
        <is>
          <t>2026-10-20</t>
        </is>
      </c>
      <c r="J3" s="13" t="inlineStr">
        <is>
          <t>63 522 380 minus ages 0 to 14 (5 325 401 + 5 448 245 + 5 472 415). Low is Findex population 15+ (46.7m)</t>
        </is>
      </c>
      <c r="K3" s="16">
        <f>IF($G3="+",MIN(D3,F3),MAX(D3,F3))</f>
        <v/>
      </c>
      <c r="L3" s="16">
        <f>E3</f>
        <v/>
      </c>
      <c r="M3" s="16">
        <f>IF($G3="+",MAX(D3,F3),MIN(D3,F3))</f>
        <v/>
      </c>
    </row>
    <row r="4">
      <c r="A4" s="12" t="inlineStr">
        <is>
          <t>pop_18plus</t>
        </is>
      </c>
      <c r="B4" s="13" t="inlineStr">
        <is>
          <t>Adults aged 18 and over, 2026 (estimate)</t>
        </is>
      </c>
      <c r="C4" s="5" t="inlineStr">
        <is>
          <t>people</t>
        </is>
      </c>
      <c r="D4" s="14" t="n">
        <v>43300000</v>
      </c>
      <c r="E4" s="14" t="n">
        <v>43905000</v>
      </c>
      <c r="F4" s="14" t="n">
        <v>44500000</v>
      </c>
      <c r="G4" s="15" t="inlineStr">
        <is>
          <t>+</t>
        </is>
      </c>
      <c r="H4" s="13" t="inlineStr">
        <is>
          <t>Derived from Stats SA Table 5 plus Assumption</t>
        </is>
      </c>
      <c r="I4" s="5" t="inlineStr">
        <is>
          <t>2026-10-20</t>
        </is>
      </c>
      <c r="J4" s="13" t="inlineStr">
        <is>
          <t>15+ minus 3/5 of the 15 to 19 cohort (5 618 124). Assumes even spread by single year of age</t>
        </is>
      </c>
      <c r="K4" s="16">
        <f>IF($G4="+",MIN(D4,F4),MAX(D4,F4))</f>
        <v/>
      </c>
      <c r="L4" s="16">
        <f>E4</f>
        <v/>
      </c>
      <c r="M4" s="16">
        <f>IF($G4="+",MAX(D4,F4),MIN(D4,F4))</f>
        <v/>
      </c>
    </row>
    <row r="5">
      <c r="A5" s="12" t="inlineStr">
        <is>
          <t>acct_ownership</t>
        </is>
      </c>
      <c r="B5" s="13" t="inlineStr">
        <is>
          <t>Adults 15+ with any account (bank, FI or mobile money), 2024</t>
        </is>
      </c>
      <c r="C5" s="5" t="inlineStr">
        <is>
          <t>fraction</t>
        </is>
      </c>
      <c r="D5" s="17" t="n">
        <v>0.784</v>
      </c>
      <c r="E5" s="17" t="n">
        <v>0.8109999999999999</v>
      </c>
      <c r="F5" s="17" t="n">
        <v>0.8540000000000001</v>
      </c>
      <c r="G5" s="15" t="inlineStr">
        <is>
          <t>+</t>
        </is>
      </c>
      <c r="H5" s="13" t="inlineStr">
        <is>
          <t>https://thedocs.worldbank.org/en/doc/be6615202d1f08a25855c8ac2d615122-0050012025/related/Little-Data-Book-2025-Web.pdf (South Africa page)</t>
        </is>
      </c>
      <c r="I5" s="5" t="inlineStr">
        <is>
          <t>2026-10-20</t>
        </is>
      </c>
      <c r="J5" s="13" t="inlineStr">
        <is>
          <t>Global Findex 2025. Low is bank or FI account only (78.4). High is the 2021 value (85.4). Ownership fell from 2021 to 2024</t>
        </is>
      </c>
      <c r="K5" s="18">
        <f>IF($G5="+",MIN(D5,F5),MAX(D5,F5))</f>
        <v/>
      </c>
      <c r="L5" s="18">
        <f>E5</f>
        <v/>
      </c>
      <c r="M5" s="18">
        <f>IF($G5="+",MAX(D5,F5),MIN(D5,F5))</f>
        <v/>
      </c>
    </row>
    <row r="6">
      <c r="A6" s="12" t="inlineStr">
        <is>
          <t>acct_digital_enabled</t>
        </is>
      </c>
      <c r="B6" s="13" t="inlineStr">
        <is>
          <t>Adults 15+ with an account used with a card or phone</t>
        </is>
      </c>
      <c r="C6" s="5" t="inlineStr">
        <is>
          <t>fraction</t>
        </is>
      </c>
      <c r="D6" s="17" t="n">
        <v>0.6</v>
      </c>
      <c r="E6" s="17" t="n">
        <v>0.6779999999999999</v>
      </c>
      <c r="F6" s="17" t="n">
        <v>0.72</v>
      </c>
      <c r="G6" s="15" t="inlineStr">
        <is>
          <t>+</t>
        </is>
      </c>
      <c r="H6" s="13" t="inlineStr">
        <is>
          <t>Same Little Data Book, South Africa page</t>
        </is>
      </c>
      <c r="I6" s="5" t="inlineStr">
        <is>
          <t>2026-10-20</t>
        </is>
      </c>
      <c r="J6" s="13" t="inlineStr">
        <is>
          <t>Range is Assumption around the point value</t>
        </is>
      </c>
      <c r="K6" s="18">
        <f>IF($G6="+",MIN(D6,F6),MAX(D6,F6))</f>
        <v/>
      </c>
      <c r="L6" s="18">
        <f>E6</f>
        <v/>
      </c>
      <c r="M6" s="18">
        <f>IF($G6="+",MAX(D6,F6),MIN(D6,F6))</f>
        <v/>
      </c>
    </row>
    <row r="7">
      <c r="A7" s="12" t="inlineStr">
        <is>
          <t>acct_poorest40</t>
        </is>
      </c>
      <c r="B7" s="13" t="inlineStr">
        <is>
          <t>Account ownership, poorest 40 percent of households</t>
        </is>
      </c>
      <c r="C7" s="5" t="inlineStr">
        <is>
          <t>fraction</t>
        </is>
      </c>
      <c r="D7" s="17" t="n">
        <v>0.7000000000000001</v>
      </c>
      <c r="E7" s="17" t="n">
        <v>0.742</v>
      </c>
      <c r="F7" s="17" t="n">
        <v>0.78</v>
      </c>
      <c r="G7" s="15" t="inlineStr">
        <is>
          <t>+</t>
        </is>
      </c>
      <c r="H7" s="13" t="inlineStr">
        <is>
          <t>Same Little Data Book, South Africa page</t>
        </is>
      </c>
      <c r="I7" s="5" t="inlineStr">
        <is>
          <t>2026-10-20</t>
        </is>
      </c>
      <c r="J7" s="13" t="inlineStr">
        <is>
          <t>Range Assumption</t>
        </is>
      </c>
      <c r="K7" s="18">
        <f>IF($G7="+",MIN(D7,F7),MAX(D7,F7))</f>
        <v/>
      </c>
      <c r="L7" s="18">
        <f>E7</f>
        <v/>
      </c>
      <c r="M7" s="18">
        <f>IF($G7="+",MAX(D7,F7),MIN(D7,F7))</f>
        <v/>
      </c>
    </row>
    <row r="8">
      <c r="A8" s="12" t="inlineStr">
        <is>
          <t>smartphone_own</t>
        </is>
      </c>
      <c r="B8" s="13" t="inlineStr">
        <is>
          <t>Adults 15+ with a personal smartphone</t>
        </is>
      </c>
      <c r="C8" s="5" t="inlineStr">
        <is>
          <t>fraction</t>
        </is>
      </c>
      <c r="D8" s="17" t="n">
        <v>0.526</v>
      </c>
      <c r="E8" s="17" t="n">
        <v>0.675</v>
      </c>
      <c r="F8" s="17" t="n">
        <v>0.75</v>
      </c>
      <c r="G8" s="15" t="inlineStr">
        <is>
          <t>+</t>
        </is>
      </c>
      <c r="H8" s="13" t="inlineStr">
        <is>
          <t>Same Little Data Book, South Africa page</t>
        </is>
      </c>
      <c r="I8" s="5" t="inlineStr">
        <is>
          <t>2026-10-20</t>
        </is>
      </c>
      <c r="J8" s="13" t="inlineStr">
        <is>
          <t>Low is the poorest 40 percent (52.6). High is Assumption for 2026 growth</t>
        </is>
      </c>
      <c r="K8" s="18">
        <f>IF($G8="+",MIN(D8,F8),MAX(D8,F8))</f>
        <v/>
      </c>
      <c r="L8" s="18">
        <f>E8</f>
        <v/>
      </c>
      <c r="M8" s="18">
        <f>IF($G8="+",MAX(D8,F8),MIN(D8,F8))</f>
        <v/>
      </c>
    </row>
    <row r="9">
      <c r="A9" s="12" t="inlineStr">
        <is>
          <t>mobile_phone_own</t>
        </is>
      </c>
      <c r="B9" s="13" t="inlineStr">
        <is>
          <t>Adults 15+ with any personal mobile phone</t>
        </is>
      </c>
      <c r="C9" s="5" t="inlineStr">
        <is>
          <t>fraction</t>
        </is>
      </c>
      <c r="D9" s="17" t="n">
        <v>0.8250000000000001</v>
      </c>
      <c r="E9" s="17" t="n">
        <v>0.87</v>
      </c>
      <c r="F9" s="17" t="n">
        <v>0.9</v>
      </c>
      <c r="G9" s="15" t="inlineStr">
        <is>
          <t>+</t>
        </is>
      </c>
      <c r="H9" s="13" t="inlineStr">
        <is>
          <t>Same Little Data Book, South Africa page</t>
        </is>
      </c>
      <c r="I9" s="5" t="inlineStr">
        <is>
          <t>2026-10-20</t>
        </is>
      </c>
      <c r="J9" s="13" t="inlineStr">
        <is>
          <t>Relevant to SMS reach. Low is poorest 40 percent</t>
        </is>
      </c>
      <c r="K9" s="18">
        <f>IF($G9="+",MIN(D9,F9),MAX(D9,F9))</f>
        <v/>
      </c>
      <c r="L9" s="18">
        <f>E9</f>
        <v/>
      </c>
      <c r="M9" s="18">
        <f>IF($G9="+",MAX(D9,F9),MIN(D9,F9))</f>
        <v/>
      </c>
    </row>
    <row r="10">
      <c r="A10" s="12" t="inlineStr">
        <is>
          <t>internet_users</t>
        </is>
      </c>
      <c r="B10" s="13" t="inlineStr">
        <is>
          <t>Internet users, October 2025</t>
        </is>
      </c>
      <c r="C10" s="5" t="inlineStr">
        <is>
          <t>people</t>
        </is>
      </c>
      <c r="D10" s="14" t="n">
        <v>50000000</v>
      </c>
      <c r="E10" s="14" t="n">
        <v>51700000</v>
      </c>
      <c r="F10" s="14" t="n">
        <v>52500000</v>
      </c>
      <c r="G10" s="15" t="inlineStr">
        <is>
          <t>+</t>
        </is>
      </c>
      <c r="H10" s="13" t="inlineStr">
        <is>
          <t>https://datareportal.com/reports/digital-2026-south-africa</t>
        </is>
      </c>
      <c r="I10" s="5" t="inlineStr">
        <is>
          <t>2026-10-20</t>
        </is>
      </c>
      <c r="J10" s="13" t="inlineStr">
        <is>
          <t>79.6 percent penetration. Range Assumption</t>
        </is>
      </c>
      <c r="K10" s="16">
        <f>IF($G10="+",MIN(D10,F10),MAX(D10,F10))</f>
        <v/>
      </c>
      <c r="L10" s="16">
        <f>E10</f>
        <v/>
      </c>
      <c r="M10" s="16">
        <f>IF($G10="+",MAX(D10,F10),MIN(D10,F10))</f>
        <v/>
      </c>
    </row>
    <row r="11">
      <c r="A11" s="12" t="inlineStr">
        <is>
          <t>internet_pen</t>
        </is>
      </c>
      <c r="B11" s="13" t="inlineStr">
        <is>
          <t>Internet penetration of total population</t>
        </is>
      </c>
      <c r="C11" s="5" t="inlineStr">
        <is>
          <t>fraction</t>
        </is>
      </c>
      <c r="D11" s="17" t="n">
        <v>0.75</v>
      </c>
      <c r="E11" s="17" t="n">
        <v>0.7959999999999999</v>
      </c>
      <c r="F11" s="17" t="n">
        <v>0.8200000000000001</v>
      </c>
      <c r="G11" s="15" t="inlineStr">
        <is>
          <t>+</t>
        </is>
      </c>
      <c r="H11" s="13" t="inlineStr">
        <is>
          <t>https://datareportal.com/reports/digital-2026-south-africa</t>
        </is>
      </c>
      <c r="I11" s="5" t="inlineStr">
        <is>
          <t>2026-10-20</t>
        </is>
      </c>
      <c r="J11" s="13" t="inlineStr">
        <is>
          <t>Range Assumption</t>
        </is>
      </c>
      <c r="K11" s="18">
        <f>IF($G11="+",MIN(D11,F11),MAX(D11,F11))</f>
        <v/>
      </c>
      <c r="L11" s="18">
        <f>E11</f>
        <v/>
      </c>
      <c r="M11" s="18">
        <f>IF($G11="+",MAX(D11,F11),MIN(D11,F11))</f>
        <v/>
      </c>
    </row>
    <row r="12">
      <c r="A12" s="12" t="inlineStr">
        <is>
          <t>employed</t>
        </is>
      </c>
      <c r="B12" s="13" t="inlineStr">
        <is>
          <t>Employed persons, QLFS Q2 2026</t>
        </is>
      </c>
      <c r="C12" s="5" t="inlineStr">
        <is>
          <t>people</t>
        </is>
      </c>
      <c r="D12" s="14" t="n">
        <v>16700000</v>
      </c>
      <c r="E12" s="14" t="n">
        <v>16700000</v>
      </c>
      <c r="F12" s="14" t="n">
        <v>16700000</v>
      </c>
      <c r="G12" s="15" t="inlineStr">
        <is>
          <t>+</t>
        </is>
      </c>
      <c r="H12" s="13" t="inlineStr">
        <is>
          <t>https://www.sanews.gov.za/south-africa/sa-official-unemployment-rate-rises-336 and https://www.statssa.gov.za/publications/P0211/Media%20Release%20QLFS%20Q2%202026.pdf</t>
        </is>
      </c>
      <c r="I12" s="5" t="inlineStr">
        <is>
          <t>2026-10-20</t>
        </is>
      </c>
      <c r="J12" s="13" t="inlineStr">
        <is>
          <t>Released 11 August 2026</t>
        </is>
      </c>
      <c r="K12" s="16">
        <f>IF($G12="+",MIN(D12,F12),MAX(D12,F12))</f>
        <v/>
      </c>
      <c r="L12" s="16">
        <f>E12</f>
        <v/>
      </c>
      <c r="M12" s="16">
        <f>IF($G12="+",MAX(D12,F12),MIN(D12,F12))</f>
        <v/>
      </c>
    </row>
    <row r="13">
      <c r="A13" s="12" t="inlineStr">
        <is>
          <t>unemployed</t>
        </is>
      </c>
      <c r="B13" s="13" t="inlineStr">
        <is>
          <t>Unemployed persons, QLFS Q2 2026</t>
        </is>
      </c>
      <c r="C13" s="5" t="inlineStr">
        <is>
          <t>people</t>
        </is>
      </c>
      <c r="D13" s="14" t="n">
        <v>8500000</v>
      </c>
      <c r="E13" s="14" t="n">
        <v>8500000</v>
      </c>
      <c r="F13" s="14" t="n">
        <v>8500000</v>
      </c>
      <c r="G13" s="15" t="inlineStr">
        <is>
          <t>+</t>
        </is>
      </c>
      <c r="H13" s="13" t="inlineStr">
        <is>
          <t>Same as above</t>
        </is>
      </c>
      <c r="I13" s="5" t="inlineStr">
        <is>
          <t>2026-10-20</t>
        </is>
      </c>
      <c r="J13" s="13" t="inlineStr">
        <is>
          <t>Official rate 33.6 percent</t>
        </is>
      </c>
      <c r="K13" s="16">
        <f>IF($G13="+",MIN(D13,F13),MAX(D13,F13))</f>
        <v/>
      </c>
      <c r="L13" s="16">
        <f>E13</f>
        <v/>
      </c>
      <c r="M13" s="16">
        <f>IF($G13="+",MAX(D13,F13),MIN(D13,F13))</f>
        <v/>
      </c>
    </row>
    <row r="14">
      <c r="A14" s="12" t="inlineStr">
        <is>
          <t>informal_sector_emp</t>
        </is>
      </c>
      <c r="B14" s="13" t="inlineStr">
        <is>
          <t>Informal sector employment incl. agriculture, Q2 2026 (new standard)</t>
        </is>
      </c>
      <c r="C14" s="5" t="inlineStr">
        <is>
          <t>people</t>
        </is>
      </c>
      <c r="D14" s="14" t="n">
        <v>3600000</v>
      </c>
      <c r="E14" s="14" t="n">
        <v>3600000</v>
      </c>
      <c r="F14" s="14" t="n">
        <v>4700000</v>
      </c>
      <c r="G14" s="15" t="inlineStr">
        <is>
          <t>+</t>
        </is>
      </c>
      <c r="H14" s="13" t="inlineStr">
        <is>
          <t>https://www.statssa.gov.za/publications/P0211/Presentation%20QLFS%20Q2%202026.pdf (slide 18)</t>
        </is>
      </c>
      <c r="I14" s="5" t="inlineStr">
        <is>
          <t>2026-10-20</t>
        </is>
      </c>
      <c r="J14" s="13" t="inlineStr">
        <is>
          <t>New three-sector standard: formal 12.1m, informal 3.6m, households 1.1m. High adds private household workers (1.1m), who also tend to have irregular pay</t>
        </is>
      </c>
      <c r="K14" s="16">
        <f>IF($G14="+",MIN(D14,F14),MAX(D14,F14))</f>
        <v/>
      </c>
      <c r="L14" s="16">
        <f>E14</f>
        <v/>
      </c>
      <c r="M14" s="16">
        <f>IF($G14="+",MAX(D14,F14),MIN(D14,F14))</f>
        <v/>
      </c>
    </row>
    <row r="15">
      <c r="A15" s="12" t="inlineStr">
        <is>
          <t>household_sector_emp</t>
        </is>
      </c>
      <c r="B15" s="13" t="inlineStr">
        <is>
          <t>Private household sector employment, Q2 2026</t>
        </is>
      </c>
      <c r="C15" s="5" t="inlineStr">
        <is>
          <t>people</t>
        </is>
      </c>
      <c r="D15" s="14" t="n">
        <v>1100000</v>
      </c>
      <c r="E15" s="14" t="n">
        <v>1100000</v>
      </c>
      <c r="F15" s="14" t="n">
        <v>1100000</v>
      </c>
      <c r="G15" s="15" t="inlineStr">
        <is>
          <t>+</t>
        </is>
      </c>
      <c r="H15" s="13" t="inlineStr">
        <is>
          <t>Same presentation, slide 18</t>
        </is>
      </c>
      <c r="I15" s="5" t="inlineStr">
        <is>
          <t>2026-10-20</t>
        </is>
      </c>
      <c r="J15" s="13" t="inlineStr">
        <is>
          <t>Domestic workers, gardeners</t>
        </is>
      </c>
      <c r="K15" s="16">
        <f>IF($G15="+",MIN(D15,F15),MAX(D15,F15))</f>
        <v/>
      </c>
      <c r="L15" s="16">
        <f>E15</f>
        <v/>
      </c>
      <c r="M15" s="16">
        <f>IF($G15="+",MAX(D15,F15),MIN(D15,F15))</f>
        <v/>
      </c>
    </row>
    <row r="16">
      <c r="A16" s="12" t="inlineStr">
        <is>
          <t>formal_sector_emp</t>
        </is>
      </c>
      <c r="B16" s="13" t="inlineStr">
        <is>
          <t>Formal sector employment incl. agriculture, Q2 2026</t>
        </is>
      </c>
      <c r="C16" s="5" t="inlineStr">
        <is>
          <t>people</t>
        </is>
      </c>
      <c r="D16" s="14" t="n">
        <v>12100000</v>
      </c>
      <c r="E16" s="14" t="n">
        <v>12100000</v>
      </c>
      <c r="F16" s="14" t="n">
        <v>12100000</v>
      </c>
      <c r="G16" s="15" t="inlineStr">
        <is>
          <t>+</t>
        </is>
      </c>
      <c r="H16" s="13" t="inlineStr">
        <is>
          <t>Same presentation, slide 18</t>
        </is>
      </c>
      <c r="I16" s="5" t="inlineStr">
        <is>
          <t>2026-10-20</t>
        </is>
      </c>
      <c r="J16" s="13" t="inlineStr">
        <is>
          <t>Some formal workers have irregular pay (commission, shifts). Not counted in base segment</t>
        </is>
      </c>
      <c r="K16" s="16">
        <f>IF($G16="+",MIN(D16,F16),MAX(D16,F16))</f>
        <v/>
      </c>
      <c r="L16" s="16">
        <f>E16</f>
        <v/>
      </c>
      <c r="M16" s="16">
        <f>IF($G16="+",MAX(D16,F16),MIN(D16,F16))</f>
        <v/>
      </c>
    </row>
    <row r="17">
      <c r="A17" s="12" t="inlineStr">
        <is>
          <t>bolt_drivers_onboarded</t>
        </is>
      </c>
      <c r="B17" s="13" t="inlineStr">
        <is>
          <t>Drivers onboarded by Bolt in South Africa since 2016 (cumulative)</t>
        </is>
      </c>
      <c r="C17" s="5" t="inlineStr">
        <is>
          <t>people</t>
        </is>
      </c>
      <c r="D17" s="14" t="n">
        <v>300000</v>
      </c>
      <c r="E17" s="14" t="n">
        <v>500000</v>
      </c>
      <c r="F17" s="14" t="n">
        <v>500000</v>
      </c>
      <c r="G17" s="15" t="inlineStr">
        <is>
          <t>+</t>
        </is>
      </c>
      <c r="H17" s="13" t="inlineStr">
        <is>
          <t>https://www.itweb.co.za/videos/category/APero3qZydGMQb6m</t>
        </is>
      </c>
      <c r="I17" s="5" t="inlineStr">
        <is>
          <t>2026-10-20</t>
        </is>
      </c>
      <c r="J17" s="13" t="inlineStr">
        <is>
          <t>Cumulative, not active. Low is Assumption for currently active. Company claim</t>
        </is>
      </c>
      <c r="K17" s="16">
        <f>IF($G17="+",MIN(D17,F17),MAX(D17,F17))</f>
        <v/>
      </c>
      <c r="L17" s="16">
        <f>E17</f>
        <v/>
      </c>
      <c r="M17" s="16">
        <f>IF($G17="+",MAX(D17,F17),MIN(D17,F17))</f>
        <v/>
      </c>
    </row>
    <row r="18">
      <c r="A18" s="12" t="inlineStr">
        <is>
          <t>ridehail_primary_share</t>
        </is>
      </c>
      <c r="B18" s="13" t="inlineStr">
        <is>
          <t>Share of ride-hailing gig workers for whom it is the primary income</t>
        </is>
      </c>
      <c r="C18" s="5" t="inlineStr">
        <is>
          <t>fraction</t>
        </is>
      </c>
      <c r="D18" s="17" t="n">
        <v>0.2</v>
      </c>
      <c r="E18" s="17" t="n">
        <v>0.3</v>
      </c>
      <c r="F18" s="17" t="n">
        <v>0.4</v>
      </c>
      <c r="G18" s="15" t="inlineStr">
        <is>
          <t>+</t>
        </is>
      </c>
      <c r="H18" s="13" t="inlineStr">
        <is>
          <t>https://www.connectingafrica.com/enterprise-networking/ride-hailing-fuels-income-for-70-of-sa-gig-workers</t>
        </is>
      </c>
      <c r="I18" s="5" t="inlineStr">
        <is>
          <t>2026-10-20</t>
        </is>
      </c>
      <c r="J18" s="13" t="inlineStr">
        <is>
          <t>Bolt and Ipsos survey. Sample size not published in the coverage. Range Assumption</t>
        </is>
      </c>
      <c r="K18" s="18">
        <f>IF($G18="+",MIN(D18,F18),MAX(D18,F18))</f>
        <v/>
      </c>
      <c r="L18" s="18">
        <f>E18</f>
        <v/>
      </c>
      <c r="M18" s="18">
        <f>IF($G18="+",MAX(D18,F18),MIN(D18,F18))</f>
        <v/>
      </c>
    </row>
    <row r="19">
      <c r="A19" s="12" t="inlineStr">
        <is>
          <t>fin_resilient</t>
        </is>
      </c>
      <c r="B19" s="13" t="inlineStr">
        <is>
          <t>Adults who find it not difficult to raise extra money in 30 days</t>
        </is>
      </c>
      <c r="C19" s="5" t="inlineStr">
        <is>
          <t>fraction</t>
        </is>
      </c>
      <c r="D19" s="17" t="n">
        <v>0.183</v>
      </c>
      <c r="E19" s="17" t="n">
        <v>0.308</v>
      </c>
      <c r="F19" s="17" t="n">
        <v>0.308</v>
      </c>
      <c r="G19" s="15" t="inlineStr">
        <is>
          <t>+</t>
        </is>
      </c>
      <c r="H19" s="13" t="inlineStr">
        <is>
          <t>Little Data Book 2025, South Africa page</t>
        </is>
      </c>
      <c r="I19" s="5" t="inlineStr">
        <is>
          <t>2026-10-20</t>
        </is>
      </c>
      <c r="J19" s="13" t="inlineStr">
        <is>
          <t>Low is the poorest 40 percent. Baseline for the confidence outcome metric</t>
        </is>
      </c>
      <c r="K19" s="18">
        <f>IF($G19="+",MIN(D19,F19),MAX(D19,F19))</f>
        <v/>
      </c>
      <c r="L19" s="18">
        <f>E19</f>
        <v/>
      </c>
      <c r="M19" s="18">
        <f>IF($G19="+",MAX(D19,F19),MIN(D19,F19))</f>
        <v/>
      </c>
    </row>
    <row r="20">
      <c r="A20" s="12" t="inlineStr">
        <is>
          <t>cover_2_months</t>
        </is>
      </c>
      <c r="B20" s="13" t="inlineStr">
        <is>
          <t>Adults who could cover more than 2 months of expenses if income is lost</t>
        </is>
      </c>
      <c r="C20" s="5" t="inlineStr">
        <is>
          <t>fraction</t>
        </is>
      </c>
      <c r="D20" s="17" t="n">
        <v>0.4</v>
      </c>
      <c r="E20" s="17" t="n">
        <v>0.45</v>
      </c>
      <c r="F20" s="17" t="n">
        <v>0.5</v>
      </c>
      <c r="G20" s="15" t="inlineStr">
        <is>
          <t>+</t>
        </is>
      </c>
      <c r="H20" s="13" t="inlineStr">
        <is>
          <t>Little Data Book 2025, South Africa page</t>
        </is>
      </c>
      <c r="I20" s="5" t="inlineStr">
        <is>
          <t>2026-10-20</t>
        </is>
      </c>
      <c r="J20" s="13" t="inlineStr">
        <is>
          <t>Range Assumption</t>
        </is>
      </c>
      <c r="K20" s="18">
        <f>IF($G20="+",MIN(D20,F20),MAX(D20,F20))</f>
        <v/>
      </c>
      <c r="L20" s="18">
        <f>E20</f>
        <v/>
      </c>
      <c r="M20" s="18">
        <f>IF($G20="+",MAX(D20,F20),MIN(D20,F20))</f>
        <v/>
      </c>
    </row>
    <row r="21">
      <c r="A21" s="12" t="inlineStr">
        <is>
          <t>saved_informal</t>
        </is>
      </c>
      <c r="B21" s="13" t="inlineStr">
        <is>
          <t>Adults who saved using a savings club (stokvel) or person outside the family</t>
        </is>
      </c>
      <c r="C21" s="5" t="inlineStr">
        <is>
          <t>fraction</t>
        </is>
      </c>
      <c r="D21" s="17" t="n">
        <v>0.15</v>
      </c>
      <c r="E21" s="17" t="n">
        <v>0.196</v>
      </c>
      <c r="F21" s="17" t="n">
        <v>0.25</v>
      </c>
      <c r="G21" s="15" t="inlineStr">
        <is>
          <t>+</t>
        </is>
      </c>
      <c r="H21" s="13" t="inlineStr">
        <is>
          <t>Little Data Book 2025, South Africa page</t>
        </is>
      </c>
      <c r="I21" s="5" t="inlineStr">
        <is>
          <t>2026-10-20</t>
        </is>
      </c>
      <c r="J21" s="13" t="inlineStr">
        <is>
          <t>Tengo does not model stokvels today</t>
        </is>
      </c>
      <c r="K21" s="18">
        <f>IF($G21="+",MIN(D21,F21),MAX(D21,F21))</f>
        <v/>
      </c>
      <c r="L21" s="18">
        <f>E21</f>
        <v/>
      </c>
      <c r="M21" s="18">
        <f>IF($G21="+",MAX(D21,F21),MIN(D21,F21))</f>
        <v/>
      </c>
    </row>
    <row r="22">
      <c r="A22" s="12" t="inlineStr">
        <is>
          <t>borrowed_any</t>
        </is>
      </c>
      <c r="B22" s="13" t="inlineStr">
        <is>
          <t>Adults who borrowed formally or informally in the past year</t>
        </is>
      </c>
      <c r="C22" s="5" t="inlineStr">
        <is>
          <t>fraction</t>
        </is>
      </c>
      <c r="D22" s="17" t="n">
        <v>0.5</v>
      </c>
      <c r="E22" s="17" t="n">
        <v>0.5710000000000001</v>
      </c>
      <c r="F22" s="17" t="n">
        <v>0.6</v>
      </c>
      <c r="G22" s="15" t="inlineStr">
        <is>
          <t>+</t>
        </is>
      </c>
      <c r="H22" s="13" t="inlineStr">
        <is>
          <t>Little Data Book 2025, South Africa page</t>
        </is>
      </c>
      <c r="I22" s="5" t="inlineStr">
        <is>
          <t>2026-10-20</t>
        </is>
      </c>
      <c r="J22" s="13" t="inlineStr">
        <is>
          <t>Formal only is 13.2 percent</t>
        </is>
      </c>
      <c r="K22" s="18">
        <f>IF($G22="+",MIN(D22,F22),MAX(D22,F22))</f>
        <v/>
      </c>
      <c r="L22" s="18">
        <f>E22</f>
        <v/>
      </c>
      <c r="M22" s="18">
        <f>IF($G22="+",MAX(D22,F22),MIN(D22,F22))</f>
        <v/>
      </c>
    </row>
    <row r="23">
      <c r="A23" s="12" t="inlineStr">
        <is>
          <t>credit_default_share</t>
        </is>
      </c>
      <c r="B23" s="13" t="inlineStr">
        <is>
          <t>Credit-active consumers in default (3+ months arrears on at least one loan), Q1 2026</t>
        </is>
      </c>
      <c r="C23" s="5" t="inlineStr">
        <is>
          <t>fraction</t>
        </is>
      </c>
      <c r="D23" s="17" t="n">
        <v>0.4</v>
      </c>
      <c r="E23" s="17" t="n">
        <v>0.41</v>
      </c>
      <c r="F23" s="17" t="n">
        <v>0.41</v>
      </c>
      <c r="G23" s="15" t="inlineStr">
        <is>
          <t>+</t>
        </is>
      </c>
      <c r="H23" s="13" t="inlineStr">
        <is>
          <t>https://businesstech.co.za/news/wealth/862257/south-africas-middle-class-is-in-serious-trouble-2/</t>
        </is>
      </c>
      <c r="I23" s="5" t="inlineStr">
        <is>
          <t>2026-10-20</t>
        </is>
      </c>
      <c r="J23" s="13" t="inlineStr">
        <is>
          <t>Eighty20 Credit Stress Report via BusinessTech. Q4 2025 was 40 percent</t>
        </is>
      </c>
      <c r="K23" s="18">
        <f>IF($G23="+",MIN(D23,F23),MAX(D23,F23))</f>
        <v/>
      </c>
      <c r="L23" s="18">
        <f>E23</f>
        <v/>
      </c>
      <c r="M23" s="18">
        <f>IF($G23="+",MAX(D23,F23),MIN(D23,F23))</f>
        <v/>
      </c>
    </row>
    <row r="24">
      <c r="A24" s="12" t="inlineStr">
        <is>
          <t>fnb_digital_active</t>
        </is>
      </c>
      <c r="B24" s="13" t="inlineStr">
        <is>
          <t>FNB digitally active customers, year to June 2026</t>
        </is>
      </c>
      <c r="C24" s="5" t="inlineStr">
        <is>
          <t>people</t>
        </is>
      </c>
      <c r="D24" s="14" t="n">
        <v>7780000</v>
      </c>
      <c r="E24" s="14" t="n">
        <v>8160000</v>
      </c>
      <c r="F24" s="14" t="n">
        <v>8160000</v>
      </c>
      <c r="G24" s="15" t="inlineStr">
        <is>
          <t>+</t>
        </is>
      </c>
      <c r="H24" s="13" t="inlineStr">
        <is>
          <t>https://www.businessday.co.za/companies/2026-09-16-fnb-ceo-bullish-as-deposits-top-r1-trillion-and-private-banking-nears-2-million-clients/</t>
        </is>
      </c>
      <c r="I24" s="5" t="inlineStr">
        <is>
          <t>2026-10-20</t>
        </is>
      </c>
      <c r="J24" s="13" t="inlineStr">
        <is>
          <t>Low is the June 2025 figure reported in search coverage (not independently checked). App transactions 782m, up 10 percent</t>
        </is>
      </c>
      <c r="K24" s="16">
        <f>IF($G24="+",MIN(D24,F24),MAX(D24,F24))</f>
        <v/>
      </c>
      <c r="L24" s="16">
        <f>E24</f>
        <v/>
      </c>
      <c r="M24" s="16">
        <f>IF($G24="+",MAX(D24,F24),MIN(D24,F24))</f>
        <v/>
      </c>
    </row>
    <row r="25">
      <c r="A25" s="12" t="inlineStr">
        <is>
          <t>fnb_retail_clients</t>
        </is>
      </c>
      <c r="B25" s="13" t="inlineStr">
        <is>
          <t>FNB retail clients, year to June 2026</t>
        </is>
      </c>
      <c r="C25" s="5" t="inlineStr">
        <is>
          <t>people</t>
        </is>
      </c>
      <c r="D25" s="14" t="n">
        <v>8000000</v>
      </c>
      <c r="E25" s="14" t="n">
        <v>9000000</v>
      </c>
      <c r="F25" s="14" t="n">
        <v>10000000</v>
      </c>
      <c r="G25" s="15" t="inlineStr">
        <is>
          <t>+</t>
        </is>
      </c>
      <c r="H25" s="13" t="inlineStr">
        <is>
          <t>Same BusinessDay article</t>
        </is>
      </c>
      <c r="I25" s="5" t="inlineStr">
        <is>
          <t>2026-10-20</t>
        </is>
      </c>
      <c r="J25" s="13" t="inlineStr">
        <is>
          <t>Article gives "almost 9 million" and "almost 10 million" in different places</t>
        </is>
      </c>
      <c r="K25" s="16">
        <f>IF($G25="+",MIN(D25,F25),MAX(D25,F25))</f>
        <v/>
      </c>
      <c r="L25" s="16">
        <f>E25</f>
        <v/>
      </c>
      <c r="M25" s="16">
        <f>IF($G25="+",MAX(D25,F25),MIN(D25,F25))</f>
        <v/>
      </c>
    </row>
    <row r="26">
      <c r="A26" s="12" t="inlineStr">
        <is>
          <t>fnb_stokvel_deposits</t>
        </is>
      </c>
      <c r="B26" s="13" t="inlineStr">
        <is>
          <t>FNB stokvel deposits, year to June 2026</t>
        </is>
      </c>
      <c r="C26" s="5" t="inlineStr">
        <is>
          <t>ZAR</t>
        </is>
      </c>
      <c r="D26" s="14" t="n">
        <v>5700000000</v>
      </c>
      <c r="E26" s="14" t="n">
        <v>5700000000</v>
      </c>
      <c r="F26" s="14" t="n">
        <v>5700000000</v>
      </c>
      <c r="G26" s="15" t="inlineStr">
        <is>
          <t>+</t>
        </is>
      </c>
      <c r="H26" s="13" t="inlineStr">
        <is>
          <t>Same BusinessDay article</t>
        </is>
      </c>
      <c r="I26" s="5" t="inlineStr">
        <is>
          <t>2026-10-20</t>
        </is>
      </c>
      <c r="J26" s="13" t="inlineStr">
        <is>
          <t>Up 31 percent. Signals FNB already serves informal savings groups</t>
        </is>
      </c>
      <c r="K26" s="16">
        <f>IF($G26="+",MIN(D26,F26),MAX(D26,F26))</f>
        <v/>
      </c>
      <c r="L26" s="16">
        <f>E26</f>
        <v/>
      </c>
      <c r="M26" s="16">
        <f>IF($G26="+",MAX(D26,F26),MIN(D26,F26))</f>
        <v/>
      </c>
    </row>
    <row r="27">
      <c r="A27" s="12" t="inlineStr">
        <is>
          <t>capitec_app_active</t>
        </is>
      </c>
      <c r="B27" s="13" t="inlineStr">
        <is>
          <t>Capitec active banking app clients, year to 28 Feb 2026</t>
        </is>
      </c>
      <c r="C27" s="5" t="inlineStr">
        <is>
          <t>people</t>
        </is>
      </c>
      <c r="D27" s="14" t="n">
        <v>15300000</v>
      </c>
      <c r="E27" s="14" t="n">
        <v>15300000</v>
      </c>
      <c r="F27" s="14" t="n">
        <v>16500000</v>
      </c>
      <c r="G27" s="15" t="inlineStr">
        <is>
          <t>+</t>
        </is>
      </c>
      <c r="H27" s="13" t="inlineStr">
        <is>
          <t>https://www.capitecbank.co.za/globalassets/pages/investor-relations/financial-results/2026/audited-results/cpify26_summary.pdf</t>
        </is>
      </c>
      <c r="I27" s="5" t="inlineStr">
        <is>
          <t>2026-10-20</t>
        </is>
      </c>
      <c r="J27" s="13" t="inlineStr">
        <is>
          <t>High is the interim figure reported at https://www.businessday.co.za/companies/2026-10-01-capitec-grows-profits-and-lifts-dividend-as-group-diversifies/ (not opened, from search snippet)</t>
        </is>
      </c>
      <c r="K27" s="16">
        <f>IF($G27="+",MIN(D27,F27),MAX(D27,F27))</f>
        <v/>
      </c>
      <c r="L27" s="16">
        <f>E27</f>
        <v/>
      </c>
      <c r="M27" s="16">
        <f>IF($G27="+",MAX(D27,F27),MIN(D27,F27))</f>
        <v/>
      </c>
    </row>
    <row r="28">
      <c r="A28" s="12" t="inlineStr">
        <is>
          <t>capitec_active_clients</t>
        </is>
      </c>
      <c r="B28" s="13" t="inlineStr">
        <is>
          <t>Capitec active clients incl. card machine merchants</t>
        </is>
      </c>
      <c r="C28" s="5" t="inlineStr">
        <is>
          <t>people</t>
        </is>
      </c>
      <c r="D28" s="14" t="n">
        <v>25200000</v>
      </c>
      <c r="E28" s="14" t="n">
        <v>25802000</v>
      </c>
      <c r="F28" s="14" t="n">
        <v>25802000</v>
      </c>
      <c r="G28" s="15" t="inlineStr">
        <is>
          <t>+</t>
        </is>
      </c>
      <c r="H28" s="13" t="inlineStr">
        <is>
          <t>Same Capitec summary PDF</t>
        </is>
      </c>
      <c r="I28" s="5" t="inlineStr">
        <is>
          <t>2026-10-20</t>
        </is>
      </c>
      <c r="J28" s="13" t="inlineStr">
        <is>
          <t>Personal banking 25.2m</t>
        </is>
      </c>
      <c r="K28" s="16">
        <f>IF($G28="+",MIN(D28,F28),MAX(D28,F28))</f>
        <v/>
      </c>
      <c r="L28" s="16">
        <f>E28</f>
        <v/>
      </c>
      <c r="M28" s="16">
        <f>IF($G28="+",MAX(D28,F28),MIN(D28,F28))</f>
        <v/>
      </c>
    </row>
    <row r="29">
      <c r="A29" s="12" t="inlineStr">
        <is>
          <t>absa_digital_active</t>
        </is>
      </c>
      <c r="B29" s="13" t="inlineStr">
        <is>
          <t>Absa active digital customers (group), six months to June 2026</t>
        </is>
      </c>
      <c r="C29" s="5" t="inlineStr">
        <is>
          <t>people</t>
        </is>
      </c>
      <c r="D29" s="14" t="n">
        <v>3800000</v>
      </c>
      <c r="E29" s="14" t="n">
        <v>5400000</v>
      </c>
      <c r="F29" s="14" t="n">
        <v>5400000</v>
      </c>
      <c r="G29" s="15" t="inlineStr">
        <is>
          <t>+</t>
        </is>
      </c>
      <c r="H29" s="13" t="inlineStr">
        <is>
          <t>https://www.businessday.co.za/companies/2026-08-18-absas-digital-users-rise-14-as-it-pushes-technology-adoption/</t>
        </is>
      </c>
      <c r="I29" s="5" t="inlineStr">
        <is>
          <t>2026-10-20</t>
        </is>
      </c>
      <c r="J29" s="13" t="inlineStr">
        <is>
          <t>Low is the South Africa figure (3.8m) from search coverage, not shown in the fetched article text</t>
        </is>
      </c>
      <c r="K29" s="16">
        <f>IF($G29="+",MIN(D29,F29),MAX(D29,F29))</f>
        <v/>
      </c>
      <c r="L29" s="16">
        <f>E29</f>
        <v/>
      </c>
      <c r="M29" s="16">
        <f>IF($G29="+",MAX(D29,F29),MIN(D29,F29))</f>
        <v/>
      </c>
    </row>
    <row r="30">
      <c r="A30" s="12" t="inlineStr">
        <is>
          <t>nedbank_app_active</t>
        </is>
      </c>
      <c r="B30" s="13" t="inlineStr">
        <is>
          <t>Nedbank Money app active clients, H1 2026</t>
        </is>
      </c>
      <c r="C30" s="5" t="inlineStr">
        <is>
          <t>people</t>
        </is>
      </c>
      <c r="D30" s="14" t="n">
        <v>3200000</v>
      </c>
      <c r="E30" s="14" t="n">
        <v>3200000</v>
      </c>
      <c r="F30" s="14" t="n">
        <v>3500000</v>
      </c>
      <c r="G30" s="15" t="inlineStr">
        <is>
          <t>+</t>
        </is>
      </c>
      <c r="H30" s="13" t="inlineStr">
        <is>
          <t>https://techfinancials.co.za/?p=4061055</t>
        </is>
      </c>
      <c r="I30" s="5" t="inlineStr">
        <is>
          <t>2026-10-20</t>
        </is>
      </c>
      <c r="J30" s="13" t="inlineStr">
        <is>
          <t>High is digitally active retail clients (3.5m)</t>
        </is>
      </c>
      <c r="K30" s="16">
        <f>IF($G30="+",MIN(D30,F30),MAX(D30,F30))</f>
        <v/>
      </c>
      <c r="L30" s="16">
        <f>E30</f>
        <v/>
      </c>
      <c r="M30" s="16">
        <f>IF($G30="+",MAX(D30,F30),MIN(D30,F30))</f>
        <v/>
      </c>
    </row>
    <row r="31">
      <c r="A31" s="12" t="inlineStr">
        <is>
          <t>discovery_bank_clients</t>
        </is>
      </c>
      <c r="B31" s="13" t="inlineStr">
        <is>
          <t>Discovery Bank clients, mid 2026</t>
        </is>
      </c>
      <c r="C31" s="5" t="inlineStr">
        <is>
          <t>people</t>
        </is>
      </c>
      <c r="D31" s="14" t="n">
        <v>1570000</v>
      </c>
      <c r="E31" s="14" t="n">
        <v>1600000</v>
      </c>
      <c r="F31" s="14" t="n">
        <v>1600000</v>
      </c>
      <c r="G31" s="15" t="inlineStr">
        <is>
          <t>+</t>
        </is>
      </c>
      <c r="H31" s="13" t="inlineStr">
        <is>
          <t>https://www.businessday.co.za/companies/2026-10-15-moodys-forecasts-21-asset-growth-for-discovery-bank/</t>
        </is>
      </c>
      <c r="I31" s="5" t="inlineStr">
        <is>
          <t>2026-10-20</t>
        </is>
      </c>
      <c r="J31" s="13" t="inlineStr">
        <is>
          <t>From search snippet, not opened. Low from https://en.wikipedia.org/wiki/Discovery_Bank</t>
        </is>
      </c>
      <c r="K31" s="16">
        <f>IF($G31="+",MIN(D31,F31),MAX(D31,F31))</f>
        <v/>
      </c>
      <c r="L31" s="16">
        <f>E31</f>
        <v/>
      </c>
      <c r="M31" s="16">
        <f>IF($G31="+",MAX(D31,F31),MIN(D31,F31))</f>
        <v/>
      </c>
    </row>
    <row r="32">
      <c r="A32" s="12" t="inlineStr">
        <is>
          <t>tymebank_customers</t>
        </is>
      </c>
      <c r="B32" s="13" t="inlineStr">
        <is>
          <t>TymeBank (GoTyme) customers</t>
        </is>
      </c>
      <c r="C32" s="5" t="inlineStr">
        <is>
          <t>people</t>
        </is>
      </c>
      <c r="D32" s="14" t="n">
        <v>10000000</v>
      </c>
      <c r="E32" s="14" t="n">
        <v>12000000</v>
      </c>
      <c r="F32" s="14" t="n">
        <v>12000000</v>
      </c>
      <c r="G32" s="15" t="inlineStr">
        <is>
          <t>+</t>
        </is>
      </c>
      <c r="H32" s="13" t="inlineStr">
        <is>
          <t>https://dailyinvestor.com/banking/112501/billionaire-patrice-motsepe-backed-bank-hits-12-million-clients/</t>
        </is>
      </c>
      <c r="I32" s="5" t="inlineStr">
        <is>
          <t>2026-10-20</t>
        </is>
      </c>
      <c r="J32" s="13" t="inlineStr">
        <is>
          <t>Date of figure unclear. Registered, not active. Low Assumption</t>
        </is>
      </c>
      <c r="K32" s="16">
        <f>IF($G32="+",MIN(D32,F32),MAX(D32,F32))</f>
        <v/>
      </c>
      <c r="L32" s="16">
        <f>E32</f>
        <v/>
      </c>
      <c r="M32" s="16">
        <f>IF($G32="+",MAX(D32,F32),MIN(D32,F32))</f>
        <v/>
      </c>
    </row>
    <row r="33">
      <c r="A33" s="12" t="inlineStr">
        <is>
          <t>tam_irregular_adults</t>
        </is>
      </c>
      <c r="B33" s="13" t="inlineStr">
        <is>
          <t>Adults with irregular or informal income (total market)</t>
        </is>
      </c>
      <c r="C33" s="5" t="inlineStr">
        <is>
          <t>people</t>
        </is>
      </c>
      <c r="D33" s="19" t="n">
        <v>4700000</v>
      </c>
      <c r="E33" s="19" t="n">
        <v>6000000</v>
      </c>
      <c r="F33" s="19" t="n">
        <v>9000000</v>
      </c>
      <c r="G33" s="15" t="inlineStr">
        <is>
          <t>+</t>
        </is>
      </c>
      <c r="H33" s="13" t="inlineStr">
        <is>
          <t>Assumption</t>
        </is>
      </c>
      <c r="I33" s="5" t="inlineStr">
        <is>
          <t>2026-10-20</t>
        </is>
      </c>
      <c r="J33" s="13" t="inlineStr">
        <is>
          <t>Starts from informal plus household employment (4.7m, sourced) and adds gig, commission and multi-job earners in the formal sector. No published total exists</t>
        </is>
      </c>
      <c r="K33" s="16">
        <f>IF($G33="+",MIN(D33,F33),MAX(D33,F33))</f>
        <v/>
      </c>
      <c r="L33" s="16">
        <f>E33</f>
        <v/>
      </c>
      <c r="M33" s="16">
        <f>IF($G33="+",MAX(D33,F33),MIN(D33,F33))</f>
        <v/>
      </c>
    </row>
    <row r="34">
      <c r="A34" s="12" t="inlineStr">
        <is>
          <t>sam_share_banked_smartphone</t>
        </is>
      </c>
      <c r="B34" s="13" t="inlineStr">
        <is>
          <t>Share of the total market with an account and a smartphone</t>
        </is>
      </c>
      <c r="C34" s="5" t="inlineStr">
        <is>
          <t>fraction</t>
        </is>
      </c>
      <c r="D34" s="20" t="n">
        <v>0.4</v>
      </c>
      <c r="E34" s="20" t="n">
        <v>0.55</v>
      </c>
      <c r="F34" s="20" t="n">
        <v>0.65</v>
      </c>
      <c r="G34" s="15" t="inlineStr">
        <is>
          <t>+</t>
        </is>
      </c>
      <c r="H34" s="13" t="inlineStr">
        <is>
          <t>Assumption</t>
        </is>
      </c>
      <c r="I34" s="5" t="inlineStr">
        <is>
          <t>2026-10-20</t>
        </is>
      </c>
      <c r="J34" s="13" t="inlineStr">
        <is>
          <t>Between Findex smartphone ownership in the poorest 40 percent (52.6) and all adults (67.5), times account ownership</t>
        </is>
      </c>
      <c r="K34" s="18">
        <f>IF($G34="+",MIN(D34,F34),MAX(D34,F34))</f>
        <v/>
      </c>
      <c r="L34" s="18">
        <f>E34</f>
        <v/>
      </c>
      <c r="M34" s="18">
        <f>IF($G34="+",MAX(D34,F34),MIN(D34,F34))</f>
        <v/>
      </c>
    </row>
    <row r="35">
      <c r="A35" s="12" t="inlineStr">
        <is>
          <t>partner_base</t>
        </is>
      </c>
      <c r="B35" s="13" t="inlineStr">
        <is>
          <t>Partner bank digitally active customers</t>
        </is>
      </c>
      <c r="C35" s="5" t="inlineStr">
        <is>
          <t>people</t>
        </is>
      </c>
      <c r="D35" s="14" t="n">
        <v>7780000</v>
      </c>
      <c r="E35" s="14" t="n">
        <v>8160000</v>
      </c>
      <c r="F35" s="14" t="n">
        <v>8160000</v>
      </c>
      <c r="G35" s="15" t="inlineStr">
        <is>
          <t>+</t>
        </is>
      </c>
      <c r="H35" s="13" t="inlineStr">
        <is>
          <t>Sourced: fnb_digital_active</t>
        </is>
      </c>
      <c r="I35" s="5" t="inlineStr">
        <is>
          <t>2026-10-20</t>
        </is>
      </c>
      <c r="J35" s="13" t="inlineStr">
        <is>
          <t>Swap for another bank's figure in other scenarios</t>
        </is>
      </c>
      <c r="K35" s="16">
        <f>IF($G35="+",MIN(D35,F35),MAX(D35,F35))</f>
        <v/>
      </c>
      <c r="L35" s="16">
        <f>E35</f>
        <v/>
      </c>
      <c r="M35" s="16">
        <f>IF($G35="+",MAX(D35,F35),MIN(D35,F35))</f>
        <v/>
      </c>
    </row>
    <row r="36">
      <c r="A36" s="12" t="inlineStr">
        <is>
          <t>share_partner_irregular</t>
        </is>
      </c>
      <c r="B36" s="13" t="inlineStr">
        <is>
          <t>Share of partner digital customers with irregular income patterns</t>
        </is>
      </c>
      <c r="C36" s="5" t="inlineStr">
        <is>
          <t>fraction</t>
        </is>
      </c>
      <c r="D36" s="20" t="n">
        <v>0.08</v>
      </c>
      <c r="E36" s="20" t="n">
        <v>0.15</v>
      </c>
      <c r="F36" s="20" t="n">
        <v>0.25</v>
      </c>
      <c r="G36" s="15" t="inlineStr">
        <is>
          <t>+</t>
        </is>
      </c>
      <c r="H36" s="13" t="inlineStr">
        <is>
          <t>Assumption</t>
        </is>
      </c>
      <c r="I36" s="5" t="inlineStr">
        <is>
          <t>2026-10-20</t>
        </is>
      </c>
      <c r="J36" s="13" t="inlineStr">
        <is>
          <t>Informal plus household workers are 28 percent of the employed (4.7m of 16.7m) but are under-represented among app users of a mid to upper market bank</t>
        </is>
      </c>
      <c r="K36" s="18">
        <f>IF($G36="+",MIN(D36,F36),MAX(D36,F36))</f>
        <v/>
      </c>
      <c r="L36" s="18">
        <f>E36</f>
        <v/>
      </c>
      <c r="M36" s="18">
        <f>IF($G36="+",MAX(D36,F36),MIN(D36,F36))</f>
        <v/>
      </c>
    </row>
    <row r="37">
      <c r="A37" s="12" t="inlineStr">
        <is>
          <t>share_eligible_offered</t>
        </is>
      </c>
      <c r="B37" s="13" t="inlineStr">
        <is>
          <t>Share of eligible customers the bank chooses to show the feature to</t>
        </is>
      </c>
      <c r="C37" s="5" t="inlineStr">
        <is>
          <t>fraction</t>
        </is>
      </c>
      <c r="D37" s="20" t="n">
        <v>0.3</v>
      </c>
      <c r="E37" s="20" t="n">
        <v>0.6</v>
      </c>
      <c r="F37" s="20" t="n">
        <v>0.9</v>
      </c>
      <c r="G37" s="15" t="inlineStr">
        <is>
          <t>+</t>
        </is>
      </c>
      <c r="H37" s="13" t="inlineStr">
        <is>
          <t>Assumption</t>
        </is>
      </c>
      <c r="I37" s="5" t="inlineStr">
        <is>
          <t>2026-10-20</t>
        </is>
      </c>
      <c r="J37" s="13" t="inlineStr">
        <is>
          <t>Banks pilot behind flags and segment carefully</t>
        </is>
      </c>
      <c r="K37" s="18">
        <f>IF($G37="+",MIN(D37,F37),MAX(D37,F37))</f>
        <v/>
      </c>
      <c r="L37" s="18">
        <f>E37</f>
        <v/>
      </c>
      <c r="M37" s="18">
        <f>IF($G37="+",MAX(D37,F37),MIN(D37,F37))</f>
        <v/>
      </c>
    </row>
    <row r="38">
      <c r="A38" s="12" t="inlineStr">
        <is>
          <t>offered_to_activated</t>
        </is>
      </c>
      <c r="B38" s="13" t="inlineStr">
        <is>
          <t>Share of those shown who activate</t>
        </is>
      </c>
      <c r="C38" s="5" t="inlineStr">
        <is>
          <t>fraction</t>
        </is>
      </c>
      <c r="D38" s="20" t="n">
        <v>0.05</v>
      </c>
      <c r="E38" s="20" t="n">
        <v>0.15</v>
      </c>
      <c r="F38" s="20" t="n">
        <v>0.3</v>
      </c>
      <c r="G38" s="15" t="inlineStr">
        <is>
          <t>+</t>
        </is>
      </c>
      <c r="H38" s="13" t="inlineStr">
        <is>
          <t>Assumption</t>
        </is>
      </c>
      <c r="I38" s="5" t="inlineStr">
        <is>
          <t>2026-10-20</t>
        </is>
      </c>
      <c r="J38" s="13" t="inlineStr">
        <is>
          <t>In-app placement converts far better than paid installs. No public bank benchmark found</t>
        </is>
      </c>
      <c r="K38" s="18">
        <f>IF($G38="+",MIN(D38,F38),MAX(D38,F38))</f>
        <v/>
      </c>
      <c r="L38" s="18">
        <f>E38</f>
        <v/>
      </c>
      <c r="M38" s="18">
        <f>IF($G38="+",MAX(D38,F38),MIN(D38,F38))</f>
        <v/>
      </c>
    </row>
    <row r="39">
      <c r="A39" s="12" t="inlineStr">
        <is>
          <t>activated_to_mau</t>
        </is>
      </c>
      <c r="B39" s="13" t="inlineStr">
        <is>
          <t>Share of activated users still monthly active after 3 months</t>
        </is>
      </c>
      <c r="C39" s="5" t="inlineStr">
        <is>
          <t>fraction</t>
        </is>
      </c>
      <c r="D39" s="20" t="n">
        <v>0.2</v>
      </c>
      <c r="E39" s="20" t="n">
        <v>0.4</v>
      </c>
      <c r="F39" s="20" t="n">
        <v>0.6</v>
      </c>
      <c r="G39" s="15" t="inlineStr">
        <is>
          <t>+</t>
        </is>
      </c>
      <c r="H39" s="13" t="inlineStr">
        <is>
          <t>Assumption</t>
        </is>
      </c>
      <c r="I39" s="5" t="inlineStr">
        <is>
          <t>2026-10-20</t>
        </is>
      </c>
      <c r="J39" s="13" t="inlineStr">
        <is>
          <t>Informed by weak public benchmarks in section 7</t>
        </is>
      </c>
      <c r="K39" s="18">
        <f>IF($G39="+",MIN(D39,F39),MAX(D39,F39))</f>
        <v/>
      </c>
      <c r="L39" s="18">
        <f>E39</f>
        <v/>
      </c>
      <c r="M39" s="18">
        <f>IF($G39="+",MAX(D39,F39),MIN(D39,F39))</f>
        <v/>
      </c>
    </row>
    <row r="40">
      <c r="A40" s="12" t="inlineStr">
        <is>
          <t>derived_partner_mau</t>
        </is>
      </c>
      <c r="B40" s="13" t="inlineStr">
        <is>
          <t>Partner MAU in steady state (derived)</t>
        </is>
      </c>
      <c r="C40" s="5" t="inlineStr">
        <is>
          <t>people</t>
        </is>
      </c>
      <c r="D40" s="14" t="n">
        <v>6000</v>
      </c>
      <c r="E40" s="14" t="n">
        <v>44064</v>
      </c>
      <c r="F40" s="14" t="n">
        <v>220000</v>
      </c>
      <c r="G40" s="15" t="inlineStr">
        <is>
          <t>+</t>
        </is>
      </c>
      <c r="H40" s="13" t="inlineStr">
        <is>
          <t>Derived</t>
        </is>
      </c>
      <c r="I40" s="5" t="inlineStr">
        <is>
          <t>2026-10-20</t>
        </is>
      </c>
      <c r="J40" s="13" t="inlineStr">
        <is>
          <t>8.16m x 0.15 x 0.60 x 0.15 x 0.40. Low and high multiply the low and high shares</t>
        </is>
      </c>
      <c r="K40" s="16">
        <f>IF($G40="+",MIN(D40,F40),MAX(D40,F40))</f>
        <v/>
      </c>
      <c r="L40" s="16">
        <f>E40</f>
        <v/>
      </c>
      <c r="M40" s="16">
        <f>IF($G40="+",MAX(D40,F40),MIN(D40,F40))</f>
        <v/>
      </c>
    </row>
    <row r="41">
      <c r="A41" s="12" t="inlineStr">
        <is>
          <t>sponsor_reach</t>
        </is>
      </c>
      <c r="B41" s="13" t="inlineStr">
        <is>
          <t>Users reached through a sponsor or NGO programme per year</t>
        </is>
      </c>
      <c r="C41" s="5" t="inlineStr">
        <is>
          <t>people</t>
        </is>
      </c>
      <c r="D41" s="19" t="n">
        <v>2000</v>
      </c>
      <c r="E41" s="19" t="n">
        <v>10000</v>
      </c>
      <c r="F41" s="19" t="n">
        <v>50000</v>
      </c>
      <c r="G41" s="15" t="inlineStr">
        <is>
          <t>+</t>
        </is>
      </c>
      <c r="H41" s="13" t="inlineStr">
        <is>
          <t>Assumption</t>
        </is>
      </c>
      <c r="I41" s="5" t="inlineStr">
        <is>
          <t>2026-10-20</t>
        </is>
      </c>
      <c r="J41" s="13" t="inlineStr">
        <is>
          <t>Field programmes with platforms or NGOs, onboarding by agents</t>
        </is>
      </c>
      <c r="K41" s="16">
        <f>IF($G41="+",MIN(D41,F41),MAX(D41,F41))</f>
        <v/>
      </c>
      <c r="L41" s="16">
        <f>E41</f>
        <v/>
      </c>
      <c r="M41" s="16">
        <f>IF($G41="+",MAX(D41,F41),MIN(D41,F41))</f>
        <v/>
      </c>
    </row>
    <row r="42">
      <c r="A42" s="12" t="inlineStr">
        <is>
          <t>usd_zar</t>
        </is>
      </c>
      <c r="B42" s="13" t="inlineStr">
        <is>
          <t>Rand per US dollar</t>
        </is>
      </c>
      <c r="C42" s="5" t="inlineStr">
        <is>
          <t>ZAR per USD</t>
        </is>
      </c>
      <c r="D42" s="14" t="n">
        <v>15.73</v>
      </c>
      <c r="E42" s="14" t="n">
        <v>16.13</v>
      </c>
      <c r="F42" s="14" t="n">
        <v>17.19</v>
      </c>
      <c r="G42" s="15" t="inlineStr">
        <is>
          <t>-</t>
        </is>
      </c>
      <c r="H42" s="13" t="inlineStr">
        <is>
          <t>https://www.valutafx.com/history/usd-zar-2026-08-20</t>
        </is>
      </c>
      <c r="I42" s="5" t="inlineStr">
        <is>
          <t>2026-10-20</t>
        </is>
      </c>
      <c r="J42" s="13" t="inlineStr">
        <is>
          <t>Value on 2026-08-20. Low and high are 2026 year low (29 Jan) and high (30 Mar) on the same page. No October quote found</t>
        </is>
      </c>
      <c r="K42" s="16">
        <f>IF($G42="+",MIN(D42,F42),MAX(D42,F42))</f>
        <v/>
      </c>
      <c r="L42" s="16">
        <f>E42</f>
        <v/>
      </c>
      <c r="M42" s="16">
        <f>IF($G42="+",MAX(D42,F42),MIN(D42,F42))</f>
        <v/>
      </c>
    </row>
    <row r="43">
      <c r="A43" s="12" t="inlineStr">
        <is>
          <t>vat</t>
        </is>
      </c>
      <c r="B43" s="13" t="inlineStr">
        <is>
          <t>South African VAT</t>
        </is>
      </c>
      <c r="C43" s="5" t="inlineStr">
        <is>
          <t>fraction</t>
        </is>
      </c>
      <c r="D43" s="17" t="n">
        <v>0.15</v>
      </c>
      <c r="E43" s="17" t="n">
        <v>0.15</v>
      </c>
      <c r="F43" s="17" t="n">
        <v>0.15</v>
      </c>
      <c r="G43" s="15" t="inlineStr">
        <is>
          <t>+</t>
        </is>
      </c>
      <c r="H43" s="13" t="inlineStr">
        <is>
          <t>https://www.panaceamobile.com/gateways/bulk-sms-gateway/</t>
        </is>
      </c>
      <c r="I43" s="5" t="inlineStr">
        <is>
          <t>2026-10-20</t>
        </is>
      </c>
      <c r="J43" s="13" t="inlineStr">
        <is>
          <t>Stated on vendor price pages as excluded. B2B buyers usually reclaim it</t>
        </is>
      </c>
      <c r="K43" s="18">
        <f>IF($G43="+",MIN(D43,F43),MAX(D43,F43))</f>
        <v/>
      </c>
      <c r="L43" s="18">
        <f>E43</f>
        <v/>
      </c>
      <c r="M43" s="18">
        <f>IF($G43="+",MAX(D43,F43),MIN(D43,F43))</f>
        <v/>
      </c>
    </row>
    <row r="44">
      <c r="A44" s="12" t="inlineStr">
        <is>
          <t>db_base</t>
        </is>
      </c>
      <c r="B44" s="13" t="inlineStr">
        <is>
          <t>Supabase Pro plan base fee per project</t>
        </is>
      </c>
      <c r="C44" s="5" t="inlineStr">
        <is>
          <t>USD per month</t>
        </is>
      </c>
      <c r="D44" s="14" t="n">
        <v>25</v>
      </c>
      <c r="E44" s="14" t="n">
        <v>25</v>
      </c>
      <c r="F44" s="14" t="n">
        <v>25</v>
      </c>
      <c r="G44" s="15" t="inlineStr">
        <is>
          <t>-</t>
        </is>
      </c>
      <c r="H44" s="13" t="inlineStr">
        <is>
          <t>https://supabase.com/pricing</t>
        </is>
      </c>
      <c r="I44" s="5" t="inlineStr">
        <is>
          <t>2026-10-20</t>
        </is>
      </c>
      <c r="J44" s="13" t="inlineStr">
        <is>
          <t>Includes 100 000 MAU, 8 GB disk, 250 GB egress, USD 10 compute credit</t>
        </is>
      </c>
      <c r="K44" s="16">
        <f>IF($G44="+",MIN(D44,F44),MAX(D44,F44))</f>
        <v/>
      </c>
      <c r="L44" s="16">
        <f>E44</f>
        <v/>
      </c>
      <c r="M44" s="16">
        <f>IF($G44="+",MAX(D44,F44),MIN(D44,F44))</f>
        <v/>
      </c>
    </row>
    <row r="45">
      <c r="A45" s="12" t="inlineStr">
        <is>
          <t>db_mau_overage</t>
        </is>
      </c>
      <c r="B45" s="13" t="inlineStr">
        <is>
          <t>Supabase auth MAU above 100 000</t>
        </is>
      </c>
      <c r="C45" s="5" t="inlineStr">
        <is>
          <t>USD per MAU per month</t>
        </is>
      </c>
      <c r="D45" s="21" t="n">
        <v>0.00325</v>
      </c>
      <c r="E45" s="21" t="n">
        <v>0.00325</v>
      </c>
      <c r="F45" s="21" t="n">
        <v>0.00325</v>
      </c>
      <c r="G45" s="15" t="inlineStr">
        <is>
          <t>-</t>
        </is>
      </c>
      <c r="H45" s="13" t="inlineStr">
        <is>
          <t>https://supabase.com/pricing</t>
        </is>
      </c>
      <c r="I45" s="5" t="inlineStr">
        <is>
          <t>2026-10-20</t>
        </is>
      </c>
      <c r="J45" s="13" t="inlineStr">
        <is>
          <t>A bank-embedded deployment may not use Supabase auth at all</t>
        </is>
      </c>
      <c r="K45" s="22">
        <f>IF($G45="+",MIN(D45,F45),MAX(D45,F45))</f>
        <v/>
      </c>
      <c r="L45" s="22">
        <f>E45</f>
        <v/>
      </c>
      <c r="M45" s="22">
        <f>IF($G45="+",MAX(D45,F45),MIN(D45,F45))</f>
        <v/>
      </c>
    </row>
    <row r="46">
      <c r="A46" s="12" t="inlineStr">
        <is>
          <t>db_compute</t>
        </is>
      </c>
      <c r="B46" s="13" t="inlineStr">
        <is>
          <t>Supabase compute add-on (Large)</t>
        </is>
      </c>
      <c r="C46" s="5" t="inlineStr">
        <is>
          <t>USD per month</t>
        </is>
      </c>
      <c r="D46" s="14" t="n">
        <v>15</v>
      </c>
      <c r="E46" s="14" t="n">
        <v>110</v>
      </c>
      <c r="F46" s="14" t="n">
        <v>410</v>
      </c>
      <c r="G46" s="15" t="inlineStr">
        <is>
          <t>-</t>
        </is>
      </c>
      <c r="H46" s="13" t="inlineStr">
        <is>
          <t>https://supabase.com/pricing</t>
        </is>
      </c>
      <c r="I46" s="5" t="inlineStr">
        <is>
          <t>2026-10-20</t>
        </is>
      </c>
      <c r="J46" s="13" t="inlineStr">
        <is>
          <t>Low is Small, high is 2XL. A bank will likely require hosting in its own cloud tenancy, which changes this line entirely</t>
        </is>
      </c>
      <c r="K46" s="16">
        <f>IF($G46="+",MIN(D46,F46),MAX(D46,F46))</f>
        <v/>
      </c>
      <c r="L46" s="16">
        <f>E46</f>
        <v/>
      </c>
      <c r="M46" s="16">
        <f>IF($G46="+",MAX(D46,F46),MIN(D46,F46))</f>
        <v/>
      </c>
    </row>
    <row r="47">
      <c r="A47" s="12" t="inlineStr">
        <is>
          <t>db_egress_overage</t>
        </is>
      </c>
      <c r="B47" s="13" t="inlineStr">
        <is>
          <t>Egress above included 250 GB</t>
        </is>
      </c>
      <c r="C47" s="5" t="inlineStr">
        <is>
          <t>USD per GB</t>
        </is>
      </c>
      <c r="D47" s="21" t="n">
        <v>0.09</v>
      </c>
      <c r="E47" s="21" t="n">
        <v>0.09</v>
      </c>
      <c r="F47" s="21" t="n">
        <v>0.09</v>
      </c>
      <c r="G47" s="15" t="inlineStr">
        <is>
          <t>-</t>
        </is>
      </c>
      <c r="H47" s="13" t="inlineStr">
        <is>
          <t>https://supabase.com/pricing</t>
        </is>
      </c>
      <c r="I47" s="5" t="inlineStr">
        <is>
          <t>2026-10-20</t>
        </is>
      </c>
      <c r="J47" s="13" t="inlineStr"/>
      <c r="K47" s="22">
        <f>IF($G47="+",MIN(D47,F47),MAX(D47,F47))</f>
        <v/>
      </c>
      <c r="L47" s="22">
        <f>E47</f>
        <v/>
      </c>
      <c r="M47" s="22">
        <f>IF($G47="+",MAX(D47,F47),MIN(D47,F47))</f>
        <v/>
      </c>
    </row>
    <row r="48">
      <c r="A48" s="12" t="inlineStr">
        <is>
          <t>hosting_per_mau</t>
        </is>
      </c>
      <c r="B48" s="13" t="inlineStr">
        <is>
          <t>All-in cloud, database and hosting cost per MAU</t>
        </is>
      </c>
      <c r="C48" s="5" t="inlineStr">
        <is>
          <t>ZAR per MAU per month</t>
        </is>
      </c>
      <c r="D48" s="23" t="n">
        <v>0.05</v>
      </c>
      <c r="E48" s="23" t="n">
        <v>0.15</v>
      </c>
      <c r="F48" s="23" t="n">
        <v>0.6</v>
      </c>
      <c r="G48" s="15" t="inlineStr">
        <is>
          <t>-</t>
        </is>
      </c>
      <c r="H48" s="13" t="inlineStr">
        <is>
          <t>Assumption</t>
        </is>
      </c>
      <c r="I48" s="5" t="inlineStr">
        <is>
          <t>2026-10-20</t>
        </is>
      </c>
      <c r="J48" s="13" t="inlineStr">
        <is>
          <t>Fixed base above spread over 20k to 200k MAU, plus storage of about 2 000 transactions per user. Bank tenancy or on-premises could be higher</t>
        </is>
      </c>
      <c r="K48" s="22">
        <f>IF($G48="+",MIN(D48,F48),MAX(D48,F48))</f>
        <v/>
      </c>
      <c r="L48" s="22">
        <f>E48</f>
        <v/>
      </c>
      <c r="M48" s="22">
        <f>IF($G48="+",MAX(D48,F48),MIN(D48,F48))</f>
        <v/>
      </c>
    </row>
    <row r="49">
      <c r="A49" s="12" t="inlineStr">
        <is>
          <t>forecast_compute</t>
        </is>
      </c>
      <c r="B49" s="13" t="inlineStr">
        <is>
          <t>Forecast engine compute per MAU</t>
        </is>
      </c>
      <c r="C49" s="5" t="inlineStr">
        <is>
          <t>ZAR per MAU per month</t>
        </is>
      </c>
      <c r="D49" s="23" t="n">
        <v>0.005</v>
      </c>
      <c r="E49" s="23" t="n">
        <v>0.02</v>
      </c>
      <c r="F49" s="23" t="n">
        <v>0.1</v>
      </c>
      <c r="G49" s="15" t="inlineStr">
        <is>
          <t>-</t>
        </is>
      </c>
      <c r="H49" s="13" t="inlineStr">
        <is>
          <t>Assumption</t>
        </is>
      </c>
      <c r="I49" s="5" t="inlineStr">
        <is>
          <t>2026-10-20</t>
        </is>
      </c>
      <c r="J49" s="13" t="inlineStr">
        <is>
          <t>Engine is pure TypeScript percentile maths (`src/engine/forecast.ts`); one run per user per day is negligible</t>
        </is>
      </c>
      <c r="K49" s="22">
        <f>IF($G49="+",MIN(D49,F49),MAX(D49,F49))</f>
        <v/>
      </c>
      <c r="L49" s="22">
        <f>E49</f>
        <v/>
      </c>
      <c r="M49" s="22">
        <f>IF($G49="+",MAX(D49,F49),MIN(D49,F49))</f>
        <v/>
      </c>
    </row>
    <row r="50">
      <c r="A50" s="12" t="inlineStr">
        <is>
          <t>llm_in_price</t>
        </is>
      </c>
      <c r="B50" s="13" t="inlineStr">
        <is>
          <t>Claude Haiku 5.5 input price (prompts up to 100K tokens)</t>
        </is>
      </c>
      <c r="C50" s="5" t="inlineStr">
        <is>
          <t>USD per million tokens</t>
        </is>
      </c>
      <c r="D50" s="21" t="n">
        <v>0.1</v>
      </c>
      <c r="E50" s="21" t="n">
        <v>0.1</v>
      </c>
      <c r="F50" s="14" t="n">
        <v>2</v>
      </c>
      <c r="G50" s="15" t="inlineStr">
        <is>
          <t>-</t>
        </is>
      </c>
      <c r="H50" s="13" t="inlineStr">
        <is>
          <t>https://claude.com/pricing</t>
        </is>
      </c>
      <c r="I50" s="5" t="inlineStr">
        <is>
          <t>2026-10-20</t>
        </is>
      </c>
      <c r="J50" s="13" t="inlineStr">
        <is>
          <t>High is Sonnet 5.5 input</t>
        </is>
      </c>
      <c r="K50" s="22">
        <f>IF($G50="+",MIN(D50,F50),MAX(D50,F50))</f>
        <v/>
      </c>
      <c r="L50" s="22">
        <f>E50</f>
        <v/>
      </c>
      <c r="M50" s="22">
        <f>IF($G50="+",MAX(D50,F50),MIN(D50,F50))</f>
        <v/>
      </c>
    </row>
    <row r="51">
      <c r="A51" s="12" t="inlineStr">
        <is>
          <t>llm_out_price</t>
        </is>
      </c>
      <c r="B51" s="13" t="inlineStr">
        <is>
          <t>Claude Haiku 5.5 output price</t>
        </is>
      </c>
      <c r="C51" s="5" t="inlineStr">
        <is>
          <t>USD per million tokens</t>
        </is>
      </c>
      <c r="D51" s="21" t="n">
        <v>0.5</v>
      </c>
      <c r="E51" s="21" t="n">
        <v>0.5</v>
      </c>
      <c r="F51" s="14" t="n">
        <v>10</v>
      </c>
      <c r="G51" s="15" t="inlineStr">
        <is>
          <t>-</t>
        </is>
      </c>
      <c r="H51" s="13" t="inlineStr">
        <is>
          <t>https://claude.com/pricing</t>
        </is>
      </c>
      <c r="I51" s="5" t="inlineStr">
        <is>
          <t>2026-10-20</t>
        </is>
      </c>
      <c r="J51" s="13" t="inlineStr">
        <is>
          <t>High is Sonnet 5.5 output. Batch processing is 50 percent off (same page)</t>
        </is>
      </c>
      <c r="K51" s="22">
        <f>IF($G51="+",MIN(D51,F51),MAX(D51,F51))</f>
        <v/>
      </c>
      <c r="L51" s="22">
        <f>E51</f>
        <v/>
      </c>
      <c r="M51" s="22">
        <f>IF($G51="+",MAX(D51,F51),MIN(D51,F51))</f>
        <v/>
      </c>
    </row>
    <row r="52">
      <c r="A52" s="12" t="inlineStr">
        <is>
          <t>tokens_in_msg</t>
        </is>
      </c>
      <c r="B52" s="13" t="inlineStr">
        <is>
          <t>Input tokens per generated message</t>
        </is>
      </c>
      <c r="C52" s="5" t="inlineStr">
        <is>
          <t>tokens</t>
        </is>
      </c>
      <c r="D52" s="19" t="n">
        <v>300</v>
      </c>
      <c r="E52" s="19" t="n">
        <v>600</v>
      </c>
      <c r="F52" s="19" t="n">
        <v>1500</v>
      </c>
      <c r="G52" s="15" t="inlineStr">
        <is>
          <t>-</t>
        </is>
      </c>
      <c r="H52" s="13" t="inlineStr">
        <is>
          <t>Assumption</t>
        </is>
      </c>
      <c r="I52" s="5" t="inlineStr">
        <is>
          <t>2026-10-20</t>
        </is>
      </c>
      <c r="J52" s="13" t="inlineStr">
        <is>
          <t>System prompt, forecast summary and language instruction</t>
        </is>
      </c>
      <c r="K52" s="16">
        <f>IF($G52="+",MIN(D52,F52),MAX(D52,F52))</f>
        <v/>
      </c>
      <c r="L52" s="16">
        <f>E52</f>
        <v/>
      </c>
      <c r="M52" s="16">
        <f>IF($G52="+",MAX(D52,F52),MIN(D52,F52))</f>
        <v/>
      </c>
    </row>
    <row r="53">
      <c r="A53" s="12" t="inlineStr">
        <is>
          <t>tokens_out_msg</t>
        </is>
      </c>
      <c r="B53" s="13" t="inlineStr">
        <is>
          <t>Output tokens per generated message</t>
        </is>
      </c>
      <c r="C53" s="5" t="inlineStr">
        <is>
          <t>tokens</t>
        </is>
      </c>
      <c r="D53" s="19" t="n">
        <v>60</v>
      </c>
      <c r="E53" s="19" t="n">
        <v>120</v>
      </c>
      <c r="F53" s="19" t="n">
        <v>250</v>
      </c>
      <c r="G53" s="15" t="inlineStr">
        <is>
          <t>-</t>
        </is>
      </c>
      <c r="H53" s="13" t="inlineStr">
        <is>
          <t>Assumption</t>
        </is>
      </c>
      <c r="I53" s="5" t="inlineStr">
        <is>
          <t>2026-10-20</t>
        </is>
      </c>
      <c r="J53" s="13" t="inlineStr">
        <is>
          <t>WhatsApp template in `src/messages/templates.ts` is five short lines</t>
        </is>
      </c>
      <c r="K53" s="16">
        <f>IF($G53="+",MIN(D53,F53),MAX(D53,F53))</f>
        <v/>
      </c>
      <c r="L53" s="16">
        <f>E53</f>
        <v/>
      </c>
      <c r="M53" s="16">
        <f>IF($G53="+",MAX(D53,F53),MIN(D53,F53))</f>
        <v/>
      </c>
    </row>
    <row r="54">
      <c r="A54" s="12" t="inlineStr">
        <is>
          <t>msgs_per_month</t>
        </is>
      </c>
      <c r="B54" s="13" t="inlineStr">
        <is>
          <t>Proactive messages per MAU per month</t>
        </is>
      </c>
      <c r="C54" s="5" t="inlineStr">
        <is>
          <t>messages</t>
        </is>
      </c>
      <c r="D54" s="19" t="n">
        <v>4</v>
      </c>
      <c r="E54" s="19" t="n">
        <v>8</v>
      </c>
      <c r="F54" s="19" t="n">
        <v>30</v>
      </c>
      <c r="G54" s="15" t="inlineStr">
        <is>
          <t>-</t>
        </is>
      </c>
      <c r="H54" s="13" t="inlineStr">
        <is>
          <t>Assumption</t>
        </is>
      </c>
      <c r="I54" s="5" t="inlineStr">
        <is>
          <t>2026-10-20</t>
        </is>
      </c>
      <c r="J54" s="13" t="inlineStr">
        <is>
          <t>Brief describes a daily message (30). Base is twice weekly plus state changes, because daily paid messaging breaks the unit economics (see commercial.md COMM-03)</t>
        </is>
      </c>
      <c r="K54" s="16">
        <f>IF($G54="+",MIN(D54,F54),MAX(D54,F54))</f>
        <v/>
      </c>
      <c r="L54" s="16">
        <f>E54</f>
        <v/>
      </c>
      <c r="M54" s="16">
        <f>IF($G54="+",MAX(D54,F54),MIN(D54,F54))</f>
        <v/>
      </c>
    </row>
    <row r="55">
      <c r="A55" s="12" t="inlineStr">
        <is>
          <t>wa_utility</t>
        </is>
      </c>
      <c r="B55" s="13" t="inlineStr">
        <is>
          <t>WhatsApp utility template message, South Africa, from 1 Oct 2026</t>
        </is>
      </c>
      <c r="C55" s="5" t="inlineStr">
        <is>
          <t>USD per delivered message</t>
        </is>
      </c>
      <c r="D55" s="21" t="n">
        <v>0.0071</v>
      </c>
      <c r="E55" s="21" t="n">
        <v>0.0095</v>
      </c>
      <c r="F55" s="21" t="n">
        <v>0.0379</v>
      </c>
      <c r="G55" s="15" t="inlineStr">
        <is>
          <t>-</t>
        </is>
      </c>
      <c r="H55" s="13" t="inlineStr">
        <is>
          <t>https://chatmaxima.com/whatsapp-api-pricing/south-africa/</t>
        </is>
      </c>
      <c r="I55" s="5" t="inlineStr">
        <is>
          <t>2026-10-20</t>
        </is>
      </c>
      <c r="J55" s="13" t="inlineStr">
        <is>
          <t>Meta's own page https://developers.facebook.com/docs/whatsapp/pricing confirms a utility increase for South Africa on 1 Oct 2026 but the amount was in a linked CSV not read. Low applies the maximum 25 percent volume tier. High is the marketing rate, if Meta classes daily nudges as marketing. Excludes VAT and BSP fees</t>
        </is>
      </c>
      <c r="K55" s="22">
        <f>IF($G55="+",MIN(D55,F55),MAX(D55,F55))</f>
        <v/>
      </c>
      <c r="L55" s="22">
        <f>E55</f>
        <v/>
      </c>
      <c r="M55" s="22">
        <f>IF($G55="+",MAX(D55,F55),MIN(D55,F55))</f>
        <v/>
      </c>
    </row>
    <row r="56">
      <c r="A56" s="12" t="inlineStr">
        <is>
          <t>wa_marketing</t>
        </is>
      </c>
      <c r="B56" s="13" t="inlineStr">
        <is>
          <t>WhatsApp marketing template message, South Africa</t>
        </is>
      </c>
      <c r="C56" s="5" t="inlineStr">
        <is>
          <t>USD per delivered message</t>
        </is>
      </c>
      <c r="D56" s="21" t="n">
        <v>0.0379</v>
      </c>
      <c r="E56" s="21" t="n">
        <v>0.0379</v>
      </c>
      <c r="F56" s="21" t="n">
        <v>0.0379</v>
      </c>
      <c r="G56" s="15" t="inlineStr">
        <is>
          <t>-</t>
        </is>
      </c>
      <c r="H56" s="13" t="inlineStr">
        <is>
          <t>https://chatmaxima.com/whatsapp-api-pricing/south-africa/</t>
        </is>
      </c>
      <c r="I56" s="5" t="inlineStr">
        <is>
          <t>2026-10-20</t>
        </is>
      </c>
      <c r="J56" s="13" t="inlineStr">
        <is>
          <t>Reseller page quoting Meta list rate. Not tiered</t>
        </is>
      </c>
      <c r="K56" s="22">
        <f>IF($G56="+",MIN(D56,F56),MAX(D56,F56))</f>
        <v/>
      </c>
      <c r="L56" s="22">
        <f>E56</f>
        <v/>
      </c>
      <c r="M56" s="22">
        <f>IF($G56="+",MAX(D56,F56),MIN(D56,F56))</f>
        <v/>
      </c>
    </row>
    <row r="57">
      <c r="A57" s="12" t="inlineStr">
        <is>
          <t>wa_service_free</t>
        </is>
      </c>
      <c r="B57" s="13" t="inlineStr">
        <is>
          <t>Free service messages per phone number per month</t>
        </is>
      </c>
      <c r="C57" s="5" t="inlineStr">
        <is>
          <t>messages</t>
        </is>
      </c>
      <c r="D57" s="14" t="n">
        <v>1000</v>
      </c>
      <c r="E57" s="14" t="n">
        <v>1000</v>
      </c>
      <c r="F57" s="14" t="n">
        <v>1000</v>
      </c>
      <c r="G57" s="15" t="inlineStr">
        <is>
          <t>+</t>
        </is>
      </c>
      <c r="H57" s="13" t="inlineStr">
        <is>
          <t>https://chatmaxima.com/whatsapp-api-pricing/south-africa/</t>
        </is>
      </c>
      <c r="I57" s="5" t="inlineStr">
        <is>
          <t>2026-10-20</t>
        </is>
      </c>
      <c r="J57" s="13" t="inlineStr">
        <is>
          <t>Only user-initiated conversations. Utility inside an open 24 hour window is free</t>
        </is>
      </c>
      <c r="K57" s="16">
        <f>IF($G57="+",MIN(D57,F57),MAX(D57,F57))</f>
        <v/>
      </c>
      <c r="L57" s="16">
        <f>E57</f>
        <v/>
      </c>
      <c r="M57" s="16">
        <f>IF($G57="+",MAX(D57,F57),MIN(D57,F57))</f>
        <v/>
      </c>
    </row>
    <row r="58">
      <c r="A58" s="12" t="inlineStr">
        <is>
          <t>wa_bsp_fee</t>
        </is>
      </c>
      <c r="B58" s="13" t="inlineStr">
        <is>
          <t>Business solution provider fee per message</t>
        </is>
      </c>
      <c r="C58" s="5" t="inlineStr">
        <is>
          <t>ZAR per message</t>
        </is>
      </c>
      <c r="D58" s="19" t="n">
        <v>0</v>
      </c>
      <c r="E58" s="23" t="n">
        <v>0.05</v>
      </c>
      <c r="F58" s="23" t="n">
        <v>0.15</v>
      </c>
      <c r="G58" s="15" t="inlineStr">
        <is>
          <t>-</t>
        </is>
      </c>
      <c r="H58" s="13" t="inlineStr">
        <is>
          <t>Assumption</t>
        </is>
      </c>
      <c r="I58" s="5" t="inlineStr">
        <is>
          <t>2026-10-20</t>
        </is>
      </c>
      <c r="J58" s="13" t="inlineStr">
        <is>
          <t>BSPs add platform fees (noted on the ChatMaxima page) but no SA rate card was found</t>
        </is>
      </c>
      <c r="K58" s="22">
        <f>IF($G58="+",MIN(D58,F58),MAX(D58,F58))</f>
        <v/>
      </c>
      <c r="L58" s="22">
        <f>E58</f>
        <v/>
      </c>
      <c r="M58" s="22">
        <f>IF($G58="+",MAX(D58,F58),MIN(D58,F58))</f>
        <v/>
      </c>
    </row>
    <row r="59">
      <c r="A59" s="12" t="inlineStr">
        <is>
          <t>sms_price</t>
        </is>
      </c>
      <c r="B59" s="13" t="inlineStr">
        <is>
          <t>Bulk SMS to South Africa, 0 to 10 000 per month</t>
        </is>
      </c>
      <c r="C59" s="5" t="inlineStr">
        <is>
          <t>ZAR per SMS excl. VAT</t>
        </is>
      </c>
      <c r="D59" s="21" t="n">
        <v>0.14</v>
      </c>
      <c r="E59" s="21" t="n">
        <v>0.24</v>
      </c>
      <c r="F59" s="21" t="n">
        <v>0.24</v>
      </c>
      <c r="G59" s="15" t="inlineStr">
        <is>
          <t>-</t>
        </is>
      </c>
      <c r="H59" s="13" t="inlineStr">
        <is>
          <t>https://www.panaceamobile.com/gateways/bulk-sms-gateway/</t>
        </is>
      </c>
      <c r="I59" s="5" t="inlineStr">
        <is>
          <t>2026-10-20</t>
        </is>
      </c>
      <c r="J59" s="13" t="inlineStr">
        <is>
          <t>Panacea tiers fall to R0.17 at 250k+. Low is SMSFlow 14c reported at https://www.itweb.co.za/office/datanamix/content/xA9POvNE6a9qo4J8 (sponsored article)</t>
        </is>
      </c>
      <c r="K59" s="22">
        <f>IF($G59="+",MIN(D59,F59),MAX(D59,F59))</f>
        <v/>
      </c>
      <c r="L59" s="22">
        <f>E59</f>
        <v/>
      </c>
      <c r="M59" s="22">
        <f>IF($G59="+",MAX(D59,F59),MIN(D59,F59))</f>
        <v/>
      </c>
    </row>
    <row r="60">
      <c r="A60" s="12" t="inlineStr">
        <is>
          <t>sms_vodacom</t>
        </is>
      </c>
      <c r="B60" s="13" t="inlineStr">
        <is>
          <t>Vodacom Messaging bulk SMS entry tier</t>
        </is>
      </c>
      <c r="C60" s="5" t="inlineStr">
        <is>
          <t>ZAR per SMS excl. VAT</t>
        </is>
      </c>
      <c r="D60" s="21" t="n">
        <v>0.14</v>
      </c>
      <c r="E60" s="21" t="n">
        <v>0.2</v>
      </c>
      <c r="F60" s="21" t="n">
        <v>0.2</v>
      </c>
      <c r="G60" s="15" t="inlineStr">
        <is>
          <t>-</t>
        </is>
      </c>
      <c r="H60" s="13" t="inlineStr">
        <is>
          <t>https://www.vodacommessaging.co.za/products/pdf/Bulk%20SMS.pdf</t>
        </is>
      </c>
      <c r="I60" s="5" t="inlineStr">
        <is>
          <t>2026-10-20</t>
        </is>
      </c>
      <c r="J60" s="13" t="inlineStr">
        <is>
          <t>From search snippet of the PDF, not opened. Minimum spend R155 per month</t>
        </is>
      </c>
      <c r="K60" s="22">
        <f>IF($G60="+",MIN(D60,F60),MAX(D60,F60))</f>
        <v/>
      </c>
      <c r="L60" s="22">
        <f>E60</f>
        <v/>
      </c>
      <c r="M60" s="22">
        <f>IF($G60="+",MAX(D60,F60),MIN(D60,F60))</f>
        <v/>
      </c>
    </row>
    <row r="61">
      <c r="A61" s="12" t="inlineStr">
        <is>
          <t>push_cost</t>
        </is>
      </c>
      <c r="B61" s="13" t="inlineStr">
        <is>
          <t>In-app push notification inside a bank app</t>
        </is>
      </c>
      <c r="C61" s="5" t="inlineStr">
        <is>
          <t>ZAR per message</t>
        </is>
      </c>
      <c r="D61" s="19" t="n">
        <v>0</v>
      </c>
      <c r="E61" s="19" t="n">
        <v>0</v>
      </c>
      <c r="F61" s="23" t="n">
        <v>0.01</v>
      </c>
      <c r="G61" s="15" t="inlineStr">
        <is>
          <t>-</t>
        </is>
      </c>
      <c r="H61" s="13" t="inlineStr">
        <is>
          <t>Assumption</t>
        </is>
      </c>
      <c r="I61" s="5" t="inlineStr">
        <is>
          <t>2026-10-20</t>
        </is>
      </c>
      <c r="J61" s="13" t="inlineStr">
        <is>
          <t>Bank already runs push. This is the main reason to prefer the embedded channel</t>
        </is>
      </c>
      <c r="K61" s="16">
        <f>IF($G61="+",MIN(D61,F61),MAX(D61,F61))</f>
        <v/>
      </c>
      <c r="L61" s="16">
        <f>E61</f>
        <v/>
      </c>
      <c r="M61" s="16">
        <f>IF($G61="+",MAX(D61,F61),MIN(D61,F61))</f>
        <v/>
      </c>
    </row>
    <row r="62">
      <c r="A62" s="12" t="inlineStr">
        <is>
          <t>support_per_mau</t>
        </is>
      </c>
      <c r="B62" s="13" t="inlineStr">
        <is>
          <t>Customer support cost per MAU</t>
        </is>
      </c>
      <c r="C62" s="5" t="inlineStr">
        <is>
          <t>ZAR per MAU per month</t>
        </is>
      </c>
      <c r="D62" s="23" t="n">
        <v>0.3</v>
      </c>
      <c r="E62" s="19" t="n">
        <v>1</v>
      </c>
      <c r="F62" s="19" t="n">
        <v>3</v>
      </c>
      <c r="G62" s="15" t="inlineStr">
        <is>
          <t>-</t>
        </is>
      </c>
      <c r="H62" s="13" t="inlineStr">
        <is>
          <t>Assumption</t>
        </is>
      </c>
      <c r="I62" s="5" t="inlineStr">
        <is>
          <t>2026-10-20</t>
        </is>
      </c>
      <c r="J62" s="13" t="inlineStr">
        <is>
          <t>Embedded: the bank's contact centre handles first line, Tengo handles second line. Standalone consumer would be at the high end</t>
        </is>
      </c>
      <c r="K62" s="16">
        <f>IF($G62="+",MIN(D62,F62),MAX(D62,F62))</f>
        <v/>
      </c>
      <c r="L62" s="16">
        <f>E62</f>
        <v/>
      </c>
      <c r="M62" s="16">
        <f>IF($G62="+",MAX(D62,F62),MIN(D62,F62))</f>
        <v/>
      </c>
    </row>
    <row r="63">
      <c r="A63" s="12" t="inlineStr">
        <is>
          <t>compliance_fixed</t>
        </is>
      </c>
      <c r="B63" s="13" t="inlineStr">
        <is>
          <t>Compliance fixed cost (Information Officer, legal review, audits, pen test, insurance)</t>
        </is>
      </c>
      <c r="C63" s="5" t="inlineStr">
        <is>
          <t>ZAR per month</t>
        </is>
      </c>
      <c r="D63" s="19" t="n">
        <v>30000</v>
      </c>
      <c r="E63" s="19" t="n">
        <v>60000</v>
      </c>
      <c r="F63" s="19" t="n">
        <v>150000</v>
      </c>
      <c r="G63" s="15" t="inlineStr">
        <is>
          <t>-</t>
        </is>
      </c>
      <c r="H63" s="13" t="inlineStr">
        <is>
          <t>Assumption</t>
        </is>
      </c>
      <c r="I63" s="5" t="inlineStr">
        <is>
          <t>2026-10-20</t>
        </is>
      </c>
      <c r="J63" s="13" t="inlineStr">
        <is>
          <t>See the legal and security reviews for what is required. Bank vendor due diligence raises the high case</t>
        </is>
      </c>
      <c r="K63" s="16">
        <f>IF($G63="+",MIN(D63,F63),MAX(D63,F63))</f>
        <v/>
      </c>
      <c r="L63" s="16">
        <f>E63</f>
        <v/>
      </c>
      <c r="M63" s="16">
        <f>IF($G63="+",MAX(D63,F63),MIN(D63,F63))</f>
        <v/>
      </c>
    </row>
    <row r="64">
      <c r="A64" s="12" t="inlineStr">
        <is>
          <t>team_fixed</t>
        </is>
      </c>
      <c r="B64" s="13" t="inlineStr">
        <is>
          <t>Core team cost (3 to 5 people)</t>
        </is>
      </c>
      <c r="C64" s="5" t="inlineStr">
        <is>
          <t>ZAR per month</t>
        </is>
      </c>
      <c r="D64" s="19" t="n">
        <v>150000</v>
      </c>
      <c r="E64" s="19" t="n">
        <v>250000</v>
      </c>
      <c r="F64" s="19" t="n">
        <v>450000</v>
      </c>
      <c r="G64" s="15" t="inlineStr">
        <is>
          <t>-</t>
        </is>
      </c>
      <c r="H64" s="13" t="inlineStr">
        <is>
          <t>Assumption</t>
        </is>
      </c>
      <c r="I64" s="5" t="inlineStr">
        <is>
          <t>2026-10-20</t>
        </is>
      </c>
      <c r="J64" s="13" t="inlineStr">
        <is>
          <t>No sourced SA salary benchmark used</t>
        </is>
      </c>
      <c r="K64" s="16">
        <f>IF($G64="+",MIN(D64,F64),MAX(D64,F64))</f>
        <v/>
      </c>
      <c r="L64" s="16">
        <f>E64</f>
        <v/>
      </c>
      <c r="M64" s="16">
        <f>IF($G64="+",MAX(D64,F64),MIN(D64,F64))</f>
        <v/>
      </c>
    </row>
    <row r="65">
      <c r="A65" s="12" t="inlineStr">
        <is>
          <t>payfast_card_pct</t>
        </is>
      </c>
      <c r="B65" s="13" t="inlineStr">
        <is>
          <t>PayFast card payment percentage fee</t>
        </is>
      </c>
      <c r="C65" s="5" t="inlineStr">
        <is>
          <t>fraction</t>
        </is>
      </c>
      <c r="D65" s="17" t="n">
        <v>0.032</v>
      </c>
      <c r="E65" s="17" t="n">
        <v>0.032</v>
      </c>
      <c r="F65" s="17" t="n">
        <v>0.032</v>
      </c>
      <c r="G65" s="15" t="inlineStr">
        <is>
          <t>-</t>
        </is>
      </c>
      <c r="H65" s="13" t="inlineStr">
        <is>
          <t>https://payfast.io/fees</t>
        </is>
      </c>
      <c r="I65" s="5" t="inlineStr">
        <is>
          <t>2026-10-20</t>
        </is>
      </c>
      <c r="J65" s="13" t="inlineStr">
        <is>
          <t>From search index of the official page; direct fetch failed. Plus fixed fee below</t>
        </is>
      </c>
      <c r="K65" s="18">
        <f>IF($G65="+",MIN(D65,F65),MAX(D65,F65))</f>
        <v/>
      </c>
      <c r="L65" s="18">
        <f>E65</f>
        <v/>
      </c>
      <c r="M65" s="18">
        <f>IF($G65="+",MAX(D65,F65),MIN(D65,F65))</f>
        <v/>
      </c>
    </row>
    <row r="66">
      <c r="A66" s="12" t="inlineStr">
        <is>
          <t>payfast_card_fixed</t>
        </is>
      </c>
      <c r="B66" s="13" t="inlineStr">
        <is>
          <t>PayFast card payment fixed fee</t>
        </is>
      </c>
      <c r="C66" s="5" t="inlineStr">
        <is>
          <t>ZAR per transaction excl. VAT</t>
        </is>
      </c>
      <c r="D66" s="14" t="n">
        <v>2</v>
      </c>
      <c r="E66" s="14" t="n">
        <v>2</v>
      </c>
      <c r="F66" s="14" t="n">
        <v>2</v>
      </c>
      <c r="G66" s="15" t="inlineStr">
        <is>
          <t>-</t>
        </is>
      </c>
      <c r="H66" s="13" t="inlineStr">
        <is>
          <t>https://payfast.io/fees</t>
        </is>
      </c>
      <c r="I66" s="5" t="inlineStr">
        <is>
          <t>2026-10-20</t>
        </is>
      </c>
      <c r="J66" s="13" t="inlineStr">
        <is>
          <t>On a R29 subscription the fee is R2.93 excl. VAT, about 10 percent</t>
        </is>
      </c>
      <c r="K66" s="16">
        <f>IF($G66="+",MIN(D66,F66),MAX(D66,F66))</f>
        <v/>
      </c>
      <c r="L66" s="16">
        <f>E66</f>
        <v/>
      </c>
      <c r="M66" s="16">
        <f>IF($G66="+",MAX(D66,F66),MIN(D66,F66))</f>
        <v/>
      </c>
    </row>
    <row r="67">
      <c r="A67" s="12" t="inlineStr">
        <is>
          <t>yoco_online_uplift</t>
        </is>
      </c>
      <c r="B67" s="13" t="inlineStr">
        <is>
          <t>Yoco online payments over card machine rate</t>
        </is>
      </c>
      <c r="C67" s="5" t="inlineStr">
        <is>
          <t>fraction</t>
        </is>
      </c>
      <c r="D67" s="17" t="n">
        <v>0.005</v>
      </c>
      <c r="E67" s="17" t="n">
        <v>0.005</v>
      </c>
      <c r="F67" s="17" t="n">
        <v>0.005</v>
      </c>
      <c r="G67" s="15" t="inlineStr">
        <is>
          <t>-</t>
        </is>
      </c>
      <c r="H67" s="13" t="inlineStr">
        <is>
          <t>https://www.yoco.com/za/fees</t>
        </is>
      </c>
      <c r="I67" s="5" t="inlineStr">
        <is>
          <t>2026-10-20</t>
        </is>
      </c>
      <c r="J67" s="13" t="inlineStr">
        <is>
          <t>Card machine debit rates up to R50k turnover: 2.30 percent (Core). Implies about 2.8 percent online</t>
        </is>
      </c>
      <c r="K67" s="18">
        <f>IF($G67="+",MIN(D67,F67),MAX(D67,F67))</f>
        <v/>
      </c>
      <c r="L67" s="18">
        <f>E67</f>
        <v/>
      </c>
      <c r="M67" s="18">
        <f>IF($G67="+",MAX(D67,F67),MIN(D67,F67))</f>
        <v/>
      </c>
    </row>
    <row r="68">
      <c r="A68" s="12" t="inlineStr">
        <is>
          <t>lic_fee_per_mau</t>
        </is>
      </c>
      <c r="B68" s="13" t="inlineStr">
        <is>
          <t>(a) Bank licence fee per MAU</t>
        </is>
      </c>
      <c r="C68" s="5" t="inlineStr">
        <is>
          <t>ZAR per MAU per month</t>
        </is>
      </c>
      <c r="D68" s="19" t="n">
        <v>2</v>
      </c>
      <c r="E68" s="19" t="n">
        <v>5</v>
      </c>
      <c r="F68" s="19" t="n">
        <v>12</v>
      </c>
      <c r="G68" s="15" t="inlineStr">
        <is>
          <t>+</t>
        </is>
      </c>
      <c r="H68" s="13" t="inlineStr">
        <is>
          <t>Assumption</t>
        </is>
      </c>
      <c r="I68" s="5" t="inlineStr">
        <is>
          <t>2026-10-20</t>
        </is>
      </c>
      <c r="J68" s="13" t="inlineStr">
        <is>
          <t>No public price for bank PFM engines (Personetics, Meniga, Moneythor publish none). Anchor: Capitec's whole main account costs R7.50 a month (capitec_monthly_fee), so a bank will resist paying a vendor more than a few rand per user for one feature</t>
        </is>
      </c>
      <c r="K68" s="16">
        <f>IF($G68="+",MIN(D68,F68),MAX(D68,F68))</f>
        <v/>
      </c>
      <c r="L68" s="16">
        <f>E68</f>
        <v/>
      </c>
      <c r="M68" s="16">
        <f>IF($G68="+",MAX(D68,F68),MIN(D68,F68))</f>
        <v/>
      </c>
    </row>
    <row r="69">
      <c r="A69" s="12" t="inlineStr">
        <is>
          <t>lic_pilot_fee</t>
        </is>
      </c>
      <c r="B69" s="13" t="inlineStr">
        <is>
          <t>(a) Fixed fee for a 6 month bank pilot</t>
        </is>
      </c>
      <c r="C69" s="5" t="inlineStr">
        <is>
          <t>ZAR per pilot</t>
        </is>
      </c>
      <c r="D69" s="19" t="n">
        <v>150000</v>
      </c>
      <c r="E69" s="19" t="n">
        <v>400000</v>
      </c>
      <c r="F69" s="19" t="n">
        <v>1000000</v>
      </c>
      <c r="G69" s="15" t="inlineStr">
        <is>
          <t>+</t>
        </is>
      </c>
      <c r="H69" s="13" t="inlineStr">
        <is>
          <t>Assumption</t>
        </is>
      </c>
      <c r="I69" s="5" t="inlineStr">
        <is>
          <t>2026-10-20</t>
        </is>
      </c>
      <c r="J69" s="13" t="inlineStr">
        <is>
          <t>Covers integration, security review support and evaluation</t>
        </is>
      </c>
      <c r="K69" s="16">
        <f>IF($G69="+",MIN(D69,F69),MAX(D69,F69))</f>
        <v/>
      </c>
      <c r="L69" s="16">
        <f>E69</f>
        <v/>
      </c>
      <c r="M69" s="16">
        <f>IF($G69="+",MAX(D69,F69),MIN(D69,F69))</f>
        <v/>
      </c>
    </row>
    <row r="70">
      <c r="A70" s="12" t="inlineStr">
        <is>
          <t>lic_platform_floor</t>
        </is>
      </c>
      <c r="B70" s="13" t="inlineStr">
        <is>
          <t>(a) Annual platform minimum after pilot</t>
        </is>
      </c>
      <c r="C70" s="5" t="inlineStr">
        <is>
          <t>ZAR per year</t>
        </is>
      </c>
      <c r="D70" s="19" t="n">
        <v>600000</v>
      </c>
      <c r="E70" s="19" t="n">
        <v>1200000</v>
      </c>
      <c r="F70" s="19" t="n">
        <v>3000000</v>
      </c>
      <c r="G70" s="15" t="inlineStr">
        <is>
          <t>+</t>
        </is>
      </c>
      <c r="H70" s="13" t="inlineStr">
        <is>
          <t>Assumption</t>
        </is>
      </c>
      <c r="I70" s="5" t="inlineStr">
        <is>
          <t>2026-10-20</t>
        </is>
      </c>
      <c r="J70" s="13" t="inlineStr">
        <is>
          <t>Protects against low activation</t>
        </is>
      </c>
      <c r="K70" s="16">
        <f>IF($G70="+",MIN(D70,F70),MAX(D70,F70))</f>
        <v/>
      </c>
      <c r="L70" s="16">
        <f>E70</f>
        <v/>
      </c>
      <c r="M70" s="16">
        <f>IF($G70="+",MAX(D70,F70),MIN(D70,F70))</f>
        <v/>
      </c>
    </row>
    <row r="71">
      <c r="A71" s="12" t="inlineStr">
        <is>
          <t>outcome_share</t>
        </is>
      </c>
      <c r="B71" s="13" t="inlineStr">
        <is>
          <t>(b) Share of measured bank benefit paid to Tengo</t>
        </is>
      </c>
      <c r="C71" s="5" t="inlineStr">
        <is>
          <t>fraction</t>
        </is>
      </c>
      <c r="D71" s="20" t="n">
        <v>0.1</v>
      </c>
      <c r="E71" s="20" t="n">
        <v>0.2</v>
      </c>
      <c r="F71" s="20" t="n">
        <v>0.3</v>
      </c>
      <c r="G71" s="15" t="inlineStr">
        <is>
          <t>+</t>
        </is>
      </c>
      <c r="H71" s="13" t="inlineStr">
        <is>
          <t>Assumption</t>
        </is>
      </c>
      <c r="I71" s="5" t="inlineStr">
        <is>
          <t>2026-10-20</t>
        </is>
      </c>
      <c r="J71" s="13" t="inlineStr">
        <is>
          <t>Requires an agreed control group. Benefit comes from section 5</t>
        </is>
      </c>
      <c r="K71" s="18">
        <f>IF($G71="+",MIN(D71,F71),MAX(D71,F71))</f>
        <v/>
      </c>
      <c r="L71" s="18">
        <f>E71</f>
        <v/>
      </c>
      <c r="M71" s="18">
        <f>IF($G71="+",MAX(D71,F71),MIN(D71,F71))</f>
        <v/>
      </c>
    </row>
    <row r="72">
      <c r="A72" s="12" t="inlineStr">
        <is>
          <t>sub_price</t>
        </is>
      </c>
      <c r="B72" s="13" t="inlineStr">
        <is>
          <t>(c) Consumer premium subscription</t>
        </is>
      </c>
      <c r="C72" s="5" t="inlineStr">
        <is>
          <t>ZAR per month incl. VAT</t>
        </is>
      </c>
      <c r="D72" s="19" t="n">
        <v>15</v>
      </c>
      <c r="E72" s="19" t="n">
        <v>29</v>
      </c>
      <c r="F72" s="19" t="n">
        <v>49</v>
      </c>
      <c r="G72" s="15" t="inlineStr">
        <is>
          <t>+</t>
        </is>
      </c>
      <c r="H72" s="13" t="inlineStr">
        <is>
          <t>Assumption</t>
        </is>
      </c>
      <c r="I72" s="5" t="inlineStr">
        <is>
          <t>2026-10-20</t>
        </is>
      </c>
      <c r="J72" s="13" t="inlineStr">
        <is>
          <t>Comparables below. Target users pay R7.50 a month for a whole Capitec account</t>
        </is>
      </c>
      <c r="K72" s="16">
        <f>IF($G72="+",MIN(D72,F72),MAX(D72,F72))</f>
        <v/>
      </c>
      <c r="L72" s="16">
        <f>E72</f>
        <v/>
      </c>
      <c r="M72" s="16">
        <f>IF($G72="+",MAX(D72,F72),MIN(D72,F72))</f>
        <v/>
      </c>
    </row>
    <row r="73">
      <c r="A73" s="12" t="inlineStr">
        <is>
          <t>comp_spotify_student</t>
        </is>
      </c>
      <c r="B73" s="13" t="inlineStr">
        <is>
          <t>Spotify Premium Student, South Africa</t>
        </is>
      </c>
      <c r="C73" s="5" t="inlineStr">
        <is>
          <t>ZAR per month</t>
        </is>
      </c>
      <c r="D73" s="14" t="n">
        <v>47.99</v>
      </c>
      <c r="E73" s="14" t="n">
        <v>47.99</v>
      </c>
      <c r="F73" s="14" t="n">
        <v>47.99</v>
      </c>
      <c r="G73" s="15" t="inlineStr">
        <is>
          <t>+</t>
        </is>
      </c>
      <c r="H73" s="13" t="inlineStr">
        <is>
          <t>https://www.spotify.com/za-en/duo</t>
        </is>
      </c>
      <c r="I73" s="5" t="inlineStr">
        <is>
          <t>2026-10-20</t>
        </is>
      </c>
      <c r="J73" s="13" t="inlineStr">
        <is>
          <t>From search snippet of the official page</t>
        </is>
      </c>
      <c r="K73" s="16">
        <f>IF($G73="+",MIN(D73,F73),MAX(D73,F73))</f>
        <v/>
      </c>
      <c r="L73" s="16">
        <f>E73</f>
        <v/>
      </c>
      <c r="M73" s="16">
        <f>IF($G73="+",MAX(D73,F73),MIN(D73,F73))</f>
        <v/>
      </c>
    </row>
    <row r="74">
      <c r="A74" s="12" t="inlineStr">
        <is>
          <t>comp_spotify_individual</t>
        </is>
      </c>
      <c r="B74" s="13" t="inlineStr">
        <is>
          <t>Spotify Premium Individual, South Africa (Aug 2025 increase)</t>
        </is>
      </c>
      <c r="C74" s="5" t="inlineStr">
        <is>
          <t>ZAR per month</t>
        </is>
      </c>
      <c r="D74" s="14" t="n">
        <v>64.98999999999999</v>
      </c>
      <c r="E74" s="14" t="n">
        <v>69.98999999999999</v>
      </c>
      <c r="F74" s="14" t="n">
        <v>69.98999999999999</v>
      </c>
      <c r="G74" s="15" t="inlineStr">
        <is>
          <t>+</t>
        </is>
      </c>
      <c r="H74" s="13" t="inlineStr">
        <is>
          <t>https://fastcompany.co.za/tech/2025-08-07-are-you-prepared-for-spotifys-new-subscription-prices-in-south-africa/</t>
        </is>
      </c>
      <c r="I74" s="5" t="inlineStr">
        <is>
          <t>2026-10-20</t>
        </is>
      </c>
      <c r="J74" s="13" t="inlineStr">
        <is>
          <t>May have changed since</t>
        </is>
      </c>
      <c r="K74" s="16">
        <f>IF($G74="+",MIN(D74,F74),MAX(D74,F74))</f>
        <v/>
      </c>
      <c r="L74" s="16">
        <f>E74</f>
        <v/>
      </c>
      <c r="M74" s="16">
        <f>IF($G74="+",MAX(D74,F74),MIN(D74,F74))</f>
        <v/>
      </c>
    </row>
    <row r="75">
      <c r="A75" s="12" t="inlineStr">
        <is>
          <t>comp_youtube_premium</t>
        </is>
      </c>
      <c r="B75" s="13" t="inlineStr">
        <is>
          <t>YouTube Premium individual, South Africa (2025)</t>
        </is>
      </c>
      <c r="C75" s="5" t="inlineStr">
        <is>
          <t>ZAR per month</t>
        </is>
      </c>
      <c r="D75" s="14" t="n">
        <v>71.98999999999999</v>
      </c>
      <c r="E75" s="14" t="n">
        <v>81.98999999999999</v>
      </c>
      <c r="F75" s="14" t="n">
        <v>81.98999999999999</v>
      </c>
      <c r="G75" s="15" t="inlineStr">
        <is>
          <t>+</t>
        </is>
      </c>
      <c r="H75" s="13" t="inlineStr">
        <is>
          <t>https://www.ewn.co.za/google-increases-youtube-premium-prices-in-south-africa-by-36</t>
        </is>
      </c>
      <c r="I75" s="5" t="inlineStr">
        <is>
          <t>2026-10-20</t>
        </is>
      </c>
      <c r="J75" s="13" t="inlineStr">
        <is>
          <t>A later increase was reported at https://stuff.co.za/2026/04/13/youtube-premiums-price-is-about-to-go-up-again/ (amount not checked)</t>
        </is>
      </c>
      <c r="K75" s="16">
        <f>IF($G75="+",MIN(D75,F75),MAX(D75,F75))</f>
        <v/>
      </c>
      <c r="L75" s="16">
        <f>E75</f>
        <v/>
      </c>
      <c r="M75" s="16">
        <f>IF($G75="+",MAX(D75,F75),MIN(D75,F75))</f>
        <v/>
      </c>
    </row>
    <row r="76">
      <c r="A76" s="12" t="inlineStr">
        <is>
          <t>comp_vault22</t>
        </is>
      </c>
      <c r="B76" s="13" t="inlineStr">
        <is>
          <t>Vault22 (successor platform to 22seven) paid tiers</t>
        </is>
      </c>
      <c r="C76" s="5" t="inlineStr">
        <is>
          <t>ZAR</t>
        </is>
      </c>
      <c r="D76" s="14" t="n">
        <v>0</v>
      </c>
      <c r="E76" s="14" t="n">
        <v>0</v>
      </c>
      <c r="F76" s="14" t="n">
        <v>0</v>
      </c>
      <c r="G76" s="15" t="inlineStr">
        <is>
          <t>+</t>
        </is>
      </c>
      <c r="H76" s="13" t="inlineStr">
        <is>
          <t>https://vault22.com/</t>
        </is>
      </c>
      <c r="I76" s="5" t="inlineStr">
        <is>
          <t>2026-10-20</t>
        </is>
      </c>
      <c r="J76" s="13" t="inlineStr">
        <is>
          <t>Free, Basic and Premium tiers exist; prices not shown on the page. Value 0 is the free tier only</t>
        </is>
      </c>
      <c r="K76" s="16">
        <f>IF($G76="+",MIN(D76,F76),MAX(D76,F76))</f>
        <v/>
      </c>
      <c r="L76" s="16">
        <f>E76</f>
        <v/>
      </c>
      <c r="M76" s="16">
        <f>IF($G76="+",MAX(D76,F76),MIN(D76,F76))</f>
        <v/>
      </c>
    </row>
    <row r="77">
      <c r="A77" s="12" t="inlineStr">
        <is>
          <t>free_to_paid</t>
        </is>
      </c>
      <c r="B77" s="13" t="inlineStr">
        <is>
          <t>(c) Free to paid conversion</t>
        </is>
      </c>
      <c r="C77" s="5" t="inlineStr">
        <is>
          <t>fraction</t>
        </is>
      </c>
      <c r="D77" s="20" t="n">
        <v>0.005</v>
      </c>
      <c r="E77" s="20" t="n">
        <v>0.02</v>
      </c>
      <c r="F77" s="20" t="n">
        <v>0.05</v>
      </c>
      <c r="G77" s="15" t="inlineStr">
        <is>
          <t>+</t>
        </is>
      </c>
      <c r="H77" s="13" t="inlineStr">
        <is>
          <t>Assumption</t>
        </is>
      </c>
      <c r="I77" s="5" t="inlineStr">
        <is>
          <t>2026-10-20</t>
        </is>
      </c>
      <c r="J77" s="13" t="inlineStr">
        <is>
          <t>Low-income target segment, free bank tools available (see commercial.md)</t>
        </is>
      </c>
      <c r="K77" s="18">
        <f>IF($G77="+",MIN(D77,F77),MAX(D77,F77))</f>
        <v/>
      </c>
      <c r="L77" s="18">
        <f>E77</f>
        <v/>
      </c>
      <c r="M77" s="18">
        <f>IF($G77="+",MAX(D77,F77),MIN(D77,F77))</f>
        <v/>
      </c>
    </row>
    <row r="78">
      <c r="A78" s="12" t="inlineStr">
        <is>
          <t>sponsor_per_user_year</t>
        </is>
      </c>
      <c r="B78" s="13" t="inlineStr">
        <is>
          <t>(d) Sponsor funding per reached user per year</t>
        </is>
      </c>
      <c r="C78" s="5" t="inlineStr">
        <is>
          <t>ZAR per user per year</t>
        </is>
      </c>
      <c r="D78" s="19" t="n">
        <v>20</v>
      </c>
      <c r="E78" s="19" t="n">
        <v>60</v>
      </c>
      <c r="F78" s="19" t="n">
        <v>150</v>
      </c>
      <c r="G78" s="15" t="inlineStr">
        <is>
          <t>+</t>
        </is>
      </c>
      <c r="H78" s="13" t="inlineStr">
        <is>
          <t>Assumption</t>
        </is>
      </c>
      <c r="I78" s="5" t="inlineStr">
        <is>
          <t>2026-10-20</t>
        </is>
      </c>
      <c r="J78" s="13" t="inlineStr">
        <is>
          <t>Must cover messaging and support; see unit costs</t>
        </is>
      </c>
      <c r="K78" s="16">
        <f>IF($G78="+",MIN(D78,F78),MAX(D78,F78))</f>
        <v/>
      </c>
      <c r="L78" s="16">
        <f>E78</f>
        <v/>
      </c>
      <c r="M78" s="16">
        <f>IF($G78="+",MAX(D78,F78),MIN(D78,F78))</f>
        <v/>
      </c>
    </row>
    <row r="79">
      <c r="A79" s="12" t="inlineStr">
        <is>
          <t>grant_saib</t>
        </is>
      </c>
      <c r="B79" s="13" t="inlineStr">
        <is>
          <t>Southern Africa Innovation Bridge fintech challenge award</t>
        </is>
      </c>
      <c r="C79" s="5" t="inlineStr">
        <is>
          <t>USD per startup</t>
        </is>
      </c>
      <c r="D79" s="14" t="n">
        <v>5000</v>
      </c>
      <c r="E79" s="14" t="n">
        <v>5000</v>
      </c>
      <c r="F79" s="14" t="n">
        <v>5000</v>
      </c>
      <c r="G79" s="15" t="inlineStr">
        <is>
          <t>+</t>
        </is>
      </c>
      <c r="H79" s="13" t="inlineStr">
        <is>
          <t>https://engineeringnews.co.za/print-version/world-bank-awards-ten-southern-african-fintech-startups-with-solution-growing-capital-2023-07-17</t>
        </is>
      </c>
      <c r="I79" s="5" t="inlineStr">
        <is>
          <t>2026-10-20</t>
        </is>
      </c>
      <c r="J79" s="13" t="inlineStr">
        <is>
          <t>2023 round, World Bank and SECO funded. Shows grant sizes are small</t>
        </is>
      </c>
      <c r="K79" s="16">
        <f>IF($G79="+",MIN(D79,F79),MAX(D79,F79))</f>
        <v/>
      </c>
      <c r="L79" s="16">
        <f>E79</f>
        <v/>
      </c>
      <c r="M79" s="16">
        <f>IF($G79="+",MAX(D79,F79),MIN(D79,F79))</f>
        <v/>
      </c>
    </row>
    <row r="80">
      <c r="A80" s="12" t="inlineStr">
        <is>
          <t>grant_mcf_finmark</t>
        </is>
      </c>
      <c r="B80" s="13" t="inlineStr">
        <is>
          <t>Mastercard Foundation partnership with FinMark Trust and Cenfri (data facility)</t>
        </is>
      </c>
      <c r="C80" s="5" t="inlineStr">
        <is>
          <t>USD programme</t>
        </is>
      </c>
      <c r="D80" s="14" t="n">
        <v>0</v>
      </c>
      <c r="E80" s="14" t="n">
        <v>9600000</v>
      </c>
      <c r="F80" s="14" t="n">
        <v>9600000</v>
      </c>
      <c r="G80" s="15" t="inlineStr">
        <is>
          <t>+</t>
        </is>
      </c>
      <c r="H80" s="13" t="inlineStr">
        <is>
          <t>https://africaglobalfunds.com/shop/product/finmark-trust-cenfri-and-mastercard-foundation-to-launch-data-facility-for-service-providers</t>
        </is>
      </c>
      <c r="I80" s="5" t="inlineStr">
        <is>
          <t>2026-10-20</t>
        </is>
      </c>
      <c r="J80" s="13" t="inlineStr">
        <is>
          <t>Aggregator, undated. Programme size, not a grant available to Tengo. Low 0 reflects that</t>
        </is>
      </c>
      <c r="K80" s="16">
        <f>IF($G80="+",MIN(D80,F80),MAX(D80,F80))</f>
        <v/>
      </c>
      <c r="L80" s="16">
        <f>E80</f>
        <v/>
      </c>
      <c r="M80" s="16">
        <f>IF($G80="+",MAX(D80,F80),MIN(D80,F80))</f>
        <v/>
      </c>
    </row>
    <row r="81">
      <c r="A81" s="12" t="inlineStr">
        <is>
          <t>capitec_returned_do</t>
        </is>
      </c>
      <c r="B81" s="13" t="inlineStr">
        <is>
          <t>Capitec returned debit order fee (insufficient funds), personal</t>
        </is>
      </c>
      <c r="C81" s="5" t="inlineStr">
        <is>
          <t>ZAR per item</t>
        </is>
      </c>
      <c r="D81" s="14" t="n">
        <v>6</v>
      </c>
      <c r="E81" s="14" t="n">
        <v>6</v>
      </c>
      <c r="F81" s="14" t="n">
        <v>6</v>
      </c>
      <c r="G81" s="15" t="inlineStr">
        <is>
          <t>+</t>
        </is>
      </c>
      <c r="H81" s="13" t="inlineStr">
        <is>
          <t>https://www.capitecbank.co.za/globalassets/pages/documents-library/transact/personal-banking-fees-2026.pdf</t>
        </is>
      </c>
      <c r="I81" s="5" t="inlineStr">
        <is>
          <t>2026-10-20</t>
        </is>
      </c>
      <c r="J81" s="13" t="inlineStr">
        <is>
          <t>Valid from 1 March 2026</t>
        </is>
      </c>
      <c r="K81" s="16">
        <f>IF($G81="+",MIN(D81,F81),MAX(D81,F81))</f>
        <v/>
      </c>
      <c r="L81" s="16">
        <f>E81</f>
        <v/>
      </c>
      <c r="M81" s="16">
        <f>IF($G81="+",MAX(D81,F81),MIN(D81,F81))</f>
        <v/>
      </c>
    </row>
    <row r="82">
      <c r="A82" s="12" t="inlineStr">
        <is>
          <t>capitec_do_fee</t>
        </is>
      </c>
      <c r="B82" s="13" t="inlineStr">
        <is>
          <t>Capitec debit order fee</t>
        </is>
      </c>
      <c r="C82" s="5" t="inlineStr">
        <is>
          <t>ZAR per item</t>
        </is>
      </c>
      <c r="D82" s="14" t="n">
        <v>3</v>
      </c>
      <c r="E82" s="14" t="n">
        <v>3</v>
      </c>
      <c r="F82" s="14" t="n">
        <v>3</v>
      </c>
      <c r="G82" s="15" t="inlineStr">
        <is>
          <t>+</t>
        </is>
      </c>
      <c r="H82" s="13" t="inlineStr">
        <is>
          <t>Same Capitec PDF</t>
        </is>
      </c>
      <c r="I82" s="5" t="inlineStr">
        <is>
          <t>2026-10-20</t>
        </is>
      </c>
      <c r="J82" s="13" t="inlineStr"/>
      <c r="K82" s="16">
        <f>IF($G82="+",MIN(D82,F82),MAX(D82,F82))</f>
        <v/>
      </c>
      <c r="L82" s="16">
        <f>E82</f>
        <v/>
      </c>
      <c r="M82" s="16">
        <f>IF($G82="+",MAX(D82,F82),MIN(D82,F82))</f>
        <v/>
      </c>
    </row>
    <row r="83">
      <c r="A83" s="12" t="inlineStr">
        <is>
          <t>capitec_monthly_fee</t>
        </is>
      </c>
      <c r="B83" s="13" t="inlineStr">
        <is>
          <t>Capitec main account monthly fee</t>
        </is>
      </c>
      <c r="C83" s="5" t="inlineStr">
        <is>
          <t>ZAR per month</t>
        </is>
      </c>
      <c r="D83" s="14" t="n">
        <v>7.5</v>
      </c>
      <c r="E83" s="14" t="n">
        <v>7.5</v>
      </c>
      <c r="F83" s="14" t="n">
        <v>7.5</v>
      </c>
      <c r="G83" s="15" t="inlineStr">
        <is>
          <t>+</t>
        </is>
      </c>
      <c r="H83" s="13" t="inlineStr">
        <is>
          <t>Same Capitec PDF</t>
        </is>
      </c>
      <c r="I83" s="5" t="inlineStr">
        <is>
          <t>2026-10-20</t>
        </is>
      </c>
      <c r="J83" s="13" t="inlineStr">
        <is>
          <t>Price anchor for the segment</t>
        </is>
      </c>
      <c r="K83" s="16">
        <f>IF($G83="+",MIN(D83,F83),MAX(D83,F83))</f>
        <v/>
      </c>
      <c r="L83" s="16">
        <f>E83</f>
        <v/>
      </c>
      <c r="M83" s="16">
        <f>IF($G83="+",MAX(D83,F83),MIN(D83,F83))</f>
        <v/>
      </c>
    </row>
    <row r="84">
      <c r="A84" s="12" t="inlineStr">
        <is>
          <t>sb_unpaid_payt</t>
        </is>
      </c>
      <c r="B84" s="13" t="inlineStr">
        <is>
          <t>Standard Bank Access Account unpaid debit order, pay as you transact</t>
        </is>
      </c>
      <c r="C84" s="5" t="inlineStr">
        <is>
          <t>ZAR per item</t>
        </is>
      </c>
      <c r="D84" s="14" t="n">
        <v>25</v>
      </c>
      <c r="E84" s="14" t="n">
        <v>25</v>
      </c>
      <c r="F84" s="14" t="n">
        <v>25</v>
      </c>
      <c r="G84" s="15" t="inlineStr">
        <is>
          <t>+</t>
        </is>
      </c>
      <c r="H84" s="13" t="inlineStr">
        <is>
          <t>https://www.standardbank.co.za/static_file/South%20Africa/PDF/Personal%20Pricing/2026/Access_Account_Pricing_Guide_2026.pdf</t>
        </is>
      </c>
      <c r="I84" s="5" t="inlineStr">
        <is>
          <t>2026-10-20</t>
        </is>
      </c>
      <c r="J84" s="13" t="inlineStr">
        <is>
          <t>2026 guide</t>
        </is>
      </c>
      <c r="K84" s="16">
        <f>IF($G84="+",MIN(D84,F84),MAX(D84,F84))</f>
        <v/>
      </c>
      <c r="L84" s="16">
        <f>E84</f>
        <v/>
      </c>
      <c r="M84" s="16">
        <f>IF($G84="+",MAX(D84,F84),MIN(D84,F84))</f>
        <v/>
      </c>
    </row>
    <row r="85">
      <c r="A85" s="12" t="inlineStr">
        <is>
          <t>sb_unpaid_bundle</t>
        </is>
      </c>
      <c r="B85" s="13" t="inlineStr">
        <is>
          <t>Standard Bank Access Account bundle: unpaid debit orders after 3 free per 12 months</t>
        </is>
      </c>
      <c r="C85" s="5" t="inlineStr">
        <is>
          <t>ZAR per item</t>
        </is>
      </c>
      <c r="D85" s="14" t="n">
        <v>130</v>
      </c>
      <c r="E85" s="14" t="n">
        <v>130</v>
      </c>
      <c r="F85" s="14" t="n">
        <v>130</v>
      </c>
      <c r="G85" s="15" t="inlineStr">
        <is>
          <t>+</t>
        </is>
      </c>
      <c r="H85" s="13" t="inlineStr">
        <is>
          <t>Same Standard Bank PDF</t>
        </is>
      </c>
      <c r="I85" s="5" t="inlineStr">
        <is>
          <t>2026-10-20</t>
        </is>
      </c>
      <c r="J85" s="13" t="inlineStr">
        <is>
          <t>First 3 in a rolling 12 months are free</t>
        </is>
      </c>
      <c r="K85" s="16">
        <f>IF($G85="+",MIN(D85,F85),MAX(D85,F85))</f>
        <v/>
      </c>
      <c r="L85" s="16">
        <f>E85</f>
        <v/>
      </c>
      <c r="M85" s="16">
        <f>IF($G85="+",MAX(D85,F85),MIN(D85,F85))</f>
        <v/>
      </c>
    </row>
    <row r="86">
      <c r="A86" s="12" t="inlineStr">
        <is>
          <t>sb_business_unpaid</t>
        </is>
      </c>
      <c r="B86" s="13" t="inlineStr">
        <is>
          <t>Standard Bank business current account unpaid debit order</t>
        </is>
      </c>
      <c r="C86" s="5" t="inlineStr">
        <is>
          <t>ZAR per item</t>
        </is>
      </c>
      <c r="D86" s="14" t="n">
        <v>155</v>
      </c>
      <c r="E86" s="14" t="n">
        <v>155</v>
      </c>
      <c r="F86" s="14" t="n">
        <v>155</v>
      </c>
      <c r="G86" s="15" t="inlineStr">
        <is>
          <t>+</t>
        </is>
      </c>
      <c r="H86" s="13" t="inlineStr">
        <is>
          <t>https://www.standardbank.co.za/static_file/South%20Africa/PDF/Business%20Pricing/2026/Business%20Current%20Account%20Pricing%20Guide%202026.pdf</t>
        </is>
      </c>
      <c r="I86" s="5" t="inlineStr">
        <is>
          <t>2026-10-20</t>
        </is>
      </c>
      <c r="J86" s="13" t="inlineStr">
        <is>
          <t>From search snippet, not opened. Relevant for spaza owners on business accounts</t>
        </is>
      </c>
      <c r="K86" s="16">
        <f>IF($G86="+",MIN(D86,F86),MAX(D86,F86))</f>
        <v/>
      </c>
      <c r="L86" s="16">
        <f>E86</f>
        <v/>
      </c>
      <c r="M86" s="16">
        <f>IF($G86="+",MAX(D86,F86),MIN(D86,F86))</f>
        <v/>
      </c>
    </row>
    <row r="87">
      <c r="A87" s="12" t="inlineStr">
        <is>
          <t>fnb_unpaid_fee</t>
        </is>
      </c>
      <c r="B87" s="13" t="inlineStr">
        <is>
          <t>FNB personal unpaid debit order fee</t>
        </is>
      </c>
      <c r="C87" s="5" t="inlineStr">
        <is>
          <t>ZAR per item</t>
        </is>
      </c>
      <c r="D87" s="19" t="n">
        <v>0</v>
      </c>
      <c r="E87" s="19" t="n">
        <v>0</v>
      </c>
      <c r="F87" s="19" t="n">
        <v>0</v>
      </c>
      <c r="G87" s="15" t="inlineStr">
        <is>
          <t>+</t>
        </is>
      </c>
      <c r="H87" s="13" t="inlineStr">
        <is>
          <t>Not sourced</t>
        </is>
      </c>
      <c r="I87" s="5" t="inlineStr">
        <is>
          <t>2026-10-20</t>
        </is>
      </c>
      <c r="J87" s="13" t="inlineStr">
        <is>
          <t>fnb.co.za pricing pages returned a bot check and the 2025/26 SA guide was not retrievable. Use Capitec and Standard Bank as the range until the FNB guide is checked by hand</t>
        </is>
      </c>
      <c r="K87" s="16">
        <f>IF($G87="+",MIN(D87,F87),MAX(D87,F87))</f>
        <v/>
      </c>
      <c r="L87" s="16">
        <f>E87</f>
        <v/>
      </c>
      <c r="M87" s="16">
        <f>IF($G87="+",MAX(D87,F87),MIN(D87,F87))</f>
        <v/>
      </c>
    </row>
    <row r="88">
      <c r="A88" s="12" t="inlineStr">
        <is>
          <t>repo_rate</t>
        </is>
      </c>
      <c r="B88" s="13" t="inlineStr">
        <is>
          <t>SARB repo rate</t>
        </is>
      </c>
      <c r="C88" s="5" t="inlineStr">
        <is>
          <t>fraction</t>
        </is>
      </c>
      <c r="D88" s="17" t="n">
        <v>0.07000000000000001</v>
      </c>
      <c r="E88" s="17" t="n">
        <v>0.07000000000000001</v>
      </c>
      <c r="F88" s="17" t="n">
        <v>0.0725</v>
      </c>
      <c r="G88" s="15" t="inlineStr">
        <is>
          <t>+</t>
        </is>
      </c>
      <c r="H88" s="13" t="inlineStr">
        <is>
          <t>https://www.ewn.co.za/2026/07/23/sarb-keeps-interest-rates-unchanged-surprising-markets-and-analysts</t>
        </is>
      </c>
      <c r="I88" s="5" t="inlineStr">
        <is>
          <t>2026-10-20</t>
        </is>
      </c>
      <c r="J88" s="13" t="inlineStr">
        <is>
          <t>July 2026 hold at 7 percent. High is a single-source report of a September hike to 7.25 at https://briefly.co.za/business-economy/money/254111-sarb-raises-repo-rate-725-what-means-bills-sa/</t>
        </is>
      </c>
      <c r="K88" s="18">
        <f>IF($G88="+",MIN(D88,F88),MAX(D88,F88))</f>
        <v/>
      </c>
      <c r="L88" s="18">
        <f>E88</f>
        <v/>
      </c>
      <c r="M88" s="18">
        <f>IF($G88="+",MAX(D88,F88),MIN(D88,F88))</f>
        <v/>
      </c>
    </row>
    <row r="89">
      <c r="A89" s="12" t="inlineStr">
        <is>
          <t>nca_cap_unsecured</t>
        </is>
      </c>
      <c r="B89" s="13" t="inlineStr">
        <is>
          <t>NCA maximum rate, unsecured credit</t>
        </is>
      </c>
      <c r="C89" s="5" t="inlineStr">
        <is>
          <t>fraction</t>
        </is>
      </c>
      <c r="D89" s="17" t="n">
        <v>0.21</v>
      </c>
      <c r="E89" s="17" t="n">
        <v>0.21</v>
      </c>
      <c r="F89" s="17" t="n">
        <v>0.21</v>
      </c>
      <c r="G89" s="15" t="inlineStr">
        <is>
          <t>+</t>
        </is>
      </c>
      <c r="H89" s="13" t="inlineStr">
        <is>
          <t>https://mjkinc.co.za/finance-credit-law/interest-cap-and-in-duplum-calculator</t>
        </is>
      </c>
      <c r="I89" s="5" t="inlineStr">
        <is>
          <t>2026-10-20</t>
        </is>
      </c>
      <c r="J89" s="13" t="inlineStr">
        <is>
          <t>Regulation 42 Table A per a law firm summary. 28 percent at 7 percent repo</t>
        </is>
      </c>
      <c r="K89" s="18">
        <f>IF($G89="+",MIN(D89,F89),MAX(D89,F89))</f>
        <v/>
      </c>
      <c r="L89" s="18">
        <f>E89</f>
        <v/>
      </c>
      <c r="M89" s="18">
        <f>IF($G89="+",MAX(D89,F89),MIN(D89,F89))</f>
        <v/>
      </c>
    </row>
    <row r="90">
      <c r="A90" s="12" t="inlineStr">
        <is>
          <t>nca_cap_facility</t>
        </is>
      </c>
      <c r="B90" s="13" t="inlineStr">
        <is>
          <t>NCA maximum rate, credit facilities (cards, overdrafts likely)</t>
        </is>
      </c>
      <c r="C90" s="5" t="inlineStr">
        <is>
          <t>fraction</t>
        </is>
      </c>
      <c r="D90" s="17" t="n">
        <v>0.14</v>
      </c>
      <c r="E90" s="17" t="n">
        <v>0.14</v>
      </c>
      <c r="F90" s="17" t="n">
        <v>0.14</v>
      </c>
      <c r="G90" s="15" t="inlineStr">
        <is>
          <t>+</t>
        </is>
      </c>
      <c r="H90" s="13" t="inlineStr">
        <is>
          <t>Same page</t>
        </is>
      </c>
      <c r="I90" s="5" t="inlineStr">
        <is>
          <t>2026-10-20</t>
        </is>
      </c>
      <c r="J90" s="13" t="inlineStr">
        <is>
          <t>Whether overdrafts fall here is not confirmed by the source</t>
        </is>
      </c>
      <c r="K90" s="18">
        <f>IF($G90="+",MIN(D90,F90),MAX(D90,F90))</f>
        <v/>
      </c>
      <c r="L90" s="18">
        <f>E90</f>
        <v/>
      </c>
      <c r="M90" s="18">
        <f>IF($G90="+",MAX(D90,F90),MIN(D90,F90))</f>
        <v/>
      </c>
    </row>
    <row r="91">
      <c r="A91" s="12" t="inlineStr">
        <is>
          <t>pasa_unpaid_benchmark</t>
        </is>
      </c>
      <c r="B91" s="13" t="inlineStr">
        <is>
          <t>Acceptable unpaid debit order ratio for collectors</t>
        </is>
      </c>
      <c r="C91" s="5" t="inlineStr">
        <is>
          <t>fraction</t>
        </is>
      </c>
      <c r="D91" s="17" t="n">
        <v>0.04</v>
      </c>
      <c r="E91" s="17" t="n">
        <v>0.1</v>
      </c>
      <c r="F91" s="17" t="n">
        <v>0.1</v>
      </c>
      <c r="G91" s="15" t="inlineStr">
        <is>
          <t>+</t>
        </is>
      </c>
      <c r="H91" s="13" t="inlineStr">
        <is>
          <t>https://help.netcash.co.za/?p=9799</t>
        </is>
      </c>
      <c r="I91" s="5" t="inlineStr">
        <is>
          <t>2026-10-20</t>
        </is>
      </c>
      <c r="J91" s="13" t="inlineStr">
        <is>
          <t>Undated. Low is 2016 PASA data (1.2m unpaid of 31m a month, 3.9 percent) at https://businesstech.co.za/news/?p=136339</t>
        </is>
      </c>
      <c r="K91" s="18">
        <f>IF($G91="+",MIN(D91,F91),MAX(D91,F91))</f>
        <v/>
      </c>
      <c r="L91" s="18">
        <f>E91</f>
        <v/>
      </c>
      <c r="M91" s="18">
        <f>IF($G91="+",MAX(D91,F91),MIN(D91,F91))</f>
        <v/>
      </c>
    </row>
    <row r="92">
      <c r="A92" s="12" t="inlineStr">
        <is>
          <t>share_users_unpaid</t>
        </is>
      </c>
      <c r="B92" s="13" t="inlineStr">
        <is>
          <t>Share of target users with at least one unpaid debit order a year</t>
        </is>
      </c>
      <c r="C92" s="5" t="inlineStr">
        <is>
          <t>fraction</t>
        </is>
      </c>
      <c r="D92" s="20" t="n">
        <v>0.1</v>
      </c>
      <c r="E92" s="20" t="n">
        <v>0.25</v>
      </c>
      <c r="F92" s="20" t="n">
        <v>0.4</v>
      </c>
      <c r="G92" s="15" t="inlineStr">
        <is>
          <t>+</t>
        </is>
      </c>
      <c r="H92" s="13" t="inlineStr">
        <is>
          <t>Assumption</t>
        </is>
      </c>
      <c r="I92" s="5" t="inlineStr">
        <is>
          <t>2026-10-20</t>
        </is>
      </c>
      <c r="J92" s="13" t="inlineStr">
        <is>
          <t>Informed by 41 percent of credit-active consumers in default (credit_default_share)</t>
        </is>
      </c>
      <c r="K92" s="18">
        <f>IF($G92="+",MIN(D92,F92),MAX(D92,F92))</f>
        <v/>
      </c>
      <c r="L92" s="18">
        <f>E92</f>
        <v/>
      </c>
      <c r="M92" s="18">
        <f>IF($G92="+",MAX(D92,F92),MIN(D92,F92))</f>
        <v/>
      </c>
    </row>
    <row r="93">
      <c r="A93" s="12" t="inlineStr">
        <is>
          <t>unpaid_events_per_user</t>
        </is>
      </c>
      <c r="B93" s="13" t="inlineStr">
        <is>
          <t>Unpaid events a year among affected users</t>
        </is>
      </c>
      <c r="C93" s="5" t="inlineStr">
        <is>
          <t>events per year</t>
        </is>
      </c>
      <c r="D93" s="19" t="n">
        <v>1</v>
      </c>
      <c r="E93" s="19" t="n">
        <v>2</v>
      </c>
      <c r="F93" s="19" t="n">
        <v>4</v>
      </c>
      <c r="G93" s="15" t="inlineStr">
        <is>
          <t>+</t>
        </is>
      </c>
      <c r="H93" s="13" t="inlineStr">
        <is>
          <t>Assumption</t>
        </is>
      </c>
      <c r="I93" s="5" t="inlineStr">
        <is>
          <t>2026-10-20</t>
        </is>
      </c>
      <c r="J93" s="13" t="inlineStr"/>
      <c r="K93" s="16">
        <f>IF($G93="+",MIN(D93,F93),MAX(D93,F93))</f>
        <v/>
      </c>
      <c r="L93" s="16">
        <f>E93</f>
        <v/>
      </c>
      <c r="M93" s="16">
        <f>IF($G93="+",MAX(D93,F93),MIN(D93,F93))</f>
        <v/>
      </c>
    </row>
    <row r="94">
      <c r="A94" s="12" t="inlineStr">
        <is>
          <t>unpaid_reduction</t>
        </is>
      </c>
      <c r="B94" s="13" t="inlineStr">
        <is>
          <t>Reduction in unpaid events among active users</t>
        </is>
      </c>
      <c r="C94" s="5" t="inlineStr">
        <is>
          <t>fraction</t>
        </is>
      </c>
      <c r="D94" s="20" t="n">
        <v>0</v>
      </c>
      <c r="E94" s="20" t="n">
        <v>0.1</v>
      </c>
      <c r="F94" s="20" t="n">
        <v>0.3</v>
      </c>
      <c r="G94" s="15" t="inlineStr">
        <is>
          <t>+</t>
        </is>
      </c>
      <c r="H94" s="13" t="inlineStr">
        <is>
          <t>Assumption</t>
        </is>
      </c>
      <c r="I94" s="5" t="inlineStr">
        <is>
          <t>2026-10-20</t>
        </is>
      </c>
      <c r="J94" s="13" t="inlineStr">
        <is>
          <t>No evidence yet. Must be measured in a pilot with a control group</t>
        </is>
      </c>
      <c r="K94" s="18">
        <f>IF($G94="+",MIN(D94,F94),MAX(D94,F94))</f>
        <v/>
      </c>
      <c r="L94" s="18">
        <f>E94</f>
        <v/>
      </c>
      <c r="M94" s="18">
        <f>IF($G94="+",MAX(D94,F94),MIN(D94,F94))</f>
        <v/>
      </c>
    </row>
    <row r="95">
      <c r="A95" s="12" t="inlineStr">
        <is>
          <t>bank_cost_per_unpaid</t>
        </is>
      </c>
      <c r="B95" s="13" t="inlineStr">
        <is>
          <t>Bank operational cost per unpaid item (processing, contact)</t>
        </is>
      </c>
      <c r="C95" s="5" t="inlineStr">
        <is>
          <t>ZAR per item</t>
        </is>
      </c>
      <c r="D95" s="19" t="n">
        <v>5</v>
      </c>
      <c r="E95" s="19" t="n">
        <v>15</v>
      </c>
      <c r="F95" s="19" t="n">
        <v>40</v>
      </c>
      <c r="G95" s="15" t="inlineStr">
        <is>
          <t>+</t>
        </is>
      </c>
      <c r="H95" s="13" t="inlineStr">
        <is>
          <t>Assumption</t>
        </is>
      </c>
      <c r="I95" s="5" t="inlineStr">
        <is>
          <t>2026-10-20</t>
        </is>
      </c>
      <c r="J95" s="13" t="inlineStr">
        <is>
          <t>Not public</t>
        </is>
      </c>
      <c r="K95" s="16">
        <f>IF($G95="+",MIN(D95,F95),MAX(D95,F95))</f>
        <v/>
      </c>
      <c r="L95" s="16">
        <f>E95</f>
        <v/>
      </c>
      <c r="M95" s="16">
        <f>IF($G95="+",MAX(D95,F95),MIN(D95,F95))</f>
        <v/>
      </c>
    </row>
    <row r="96">
      <c r="A96" s="12" t="inlineStr">
        <is>
          <t>deposit_uplift</t>
        </is>
      </c>
      <c r="B96" s="13" t="inlineStr">
        <is>
          <t>Change in average balance held by an active user</t>
        </is>
      </c>
      <c r="C96" s="5" t="inlineStr">
        <is>
          <t>ZAR per user</t>
        </is>
      </c>
      <c r="D96" s="19" t="n">
        <v>0</v>
      </c>
      <c r="E96" s="19" t="n">
        <v>200</v>
      </c>
      <c r="F96" s="19" t="n">
        <v>1000</v>
      </c>
      <c r="G96" s="15" t="inlineStr">
        <is>
          <t>+</t>
        </is>
      </c>
      <c r="H96" s="13" t="inlineStr">
        <is>
          <t>Assumption</t>
        </is>
      </c>
      <c r="I96" s="5" t="inlineStr">
        <is>
          <t>2026-10-20</t>
        </is>
      </c>
      <c r="J96" s="13" t="inlineStr">
        <is>
          <t>Could also be negative if users spend up to "safe to spend"</t>
        </is>
      </c>
      <c r="K96" s="16">
        <f>IF($G96="+",MIN(D96,F96),MAX(D96,F96))</f>
        <v/>
      </c>
      <c r="L96" s="16">
        <f>E96</f>
        <v/>
      </c>
      <c r="M96" s="16">
        <f>IF($G96="+",MAX(D96,F96),MIN(D96,F96))</f>
        <v/>
      </c>
    </row>
    <row r="97">
      <c r="A97" s="12" t="inlineStr">
        <is>
          <t>nim_on_deposits</t>
        </is>
      </c>
      <c r="B97" s="13" t="inlineStr">
        <is>
          <t>Bank margin earned on retail deposits</t>
        </is>
      </c>
      <c r="C97" s="5" t="inlineStr">
        <is>
          <t>fraction</t>
        </is>
      </c>
      <c r="D97" s="20" t="n">
        <v>0.02</v>
      </c>
      <c r="E97" s="20" t="n">
        <v>0.04</v>
      </c>
      <c r="F97" s="20" t="n">
        <v>0.06</v>
      </c>
      <c r="G97" s="15" t="inlineStr">
        <is>
          <t>+</t>
        </is>
      </c>
      <c r="H97" s="13" t="inlineStr">
        <is>
          <t>Assumption</t>
        </is>
      </c>
      <c r="I97" s="5" t="inlineStr">
        <is>
          <t>2026-10-20</t>
        </is>
      </c>
      <c r="J97" s="13" t="inlineStr">
        <is>
          <t>Not taken from any bank disclosure</t>
        </is>
      </c>
      <c r="K97" s="18">
        <f>IF($G97="+",MIN(D97,F97),MAX(D97,F97))</f>
        <v/>
      </c>
      <c r="L97" s="18">
        <f>E97</f>
        <v/>
      </c>
      <c r="M97" s="18">
        <f>IF($G97="+",MAX(D97,F97),MIN(D97,F97))</f>
        <v/>
      </c>
    </row>
    <row r="98">
      <c r="A98" s="12" t="inlineStr">
        <is>
          <t>attrition_reduction</t>
        </is>
      </c>
      <c r="B98" s="13" t="inlineStr">
        <is>
          <t>Reduction in annual customer attrition among active users</t>
        </is>
      </c>
      <c r="C98" s="5" t="inlineStr">
        <is>
          <t>fraction</t>
        </is>
      </c>
      <c r="D98" s="20" t="n">
        <v>0</v>
      </c>
      <c r="E98" s="20" t="n">
        <v>0.01</v>
      </c>
      <c r="F98" s="20" t="n">
        <v>0.03</v>
      </c>
      <c r="G98" s="15" t="inlineStr">
        <is>
          <t>+</t>
        </is>
      </c>
      <c r="H98" s="13" t="inlineStr">
        <is>
          <t>Assumption</t>
        </is>
      </c>
      <c r="I98" s="5" t="inlineStr">
        <is>
          <t>2026-10-20</t>
        </is>
      </c>
      <c r="J98" s="13" t="inlineStr"/>
      <c r="K98" s="18">
        <f>IF($G98="+",MIN(D98,F98),MAX(D98,F98))</f>
        <v/>
      </c>
      <c r="L98" s="18">
        <f>E98</f>
        <v/>
      </c>
      <c r="M98" s="18">
        <f>IF($G98="+",MAX(D98,F98),MIN(D98,F98))</f>
        <v/>
      </c>
    </row>
    <row r="99">
      <c r="A99" s="12" t="inlineStr">
        <is>
          <t>value_per_customer_year</t>
        </is>
      </c>
      <c r="B99" s="13" t="inlineStr">
        <is>
          <t>Annual net revenue per retained retail customer in segment</t>
        </is>
      </c>
      <c r="C99" s="5" t="inlineStr">
        <is>
          <t>ZAR per year</t>
        </is>
      </c>
      <c r="D99" s="19" t="n">
        <v>800</v>
      </c>
      <c r="E99" s="19" t="n">
        <v>1500</v>
      </c>
      <c r="F99" s="19" t="n">
        <v>3000</v>
      </c>
      <c r="G99" s="15" t="inlineStr">
        <is>
          <t>+</t>
        </is>
      </c>
      <c r="H99" s="13" t="inlineStr">
        <is>
          <t>Assumption</t>
        </is>
      </c>
      <c r="I99" s="5" t="inlineStr">
        <is>
          <t>2026-10-20</t>
        </is>
      </c>
      <c r="J99" s="13" t="inlineStr">
        <is>
          <t>Not public at segment level</t>
        </is>
      </c>
      <c r="K99" s="16">
        <f>IF($G99="+",MIN(D99,F99),MAX(D99,F99))</f>
        <v/>
      </c>
      <c r="L99" s="16">
        <f>E99</f>
        <v/>
      </c>
      <c r="M99" s="16">
        <f>IF($G99="+",MAX(D99,F99),MIN(D99,F99))</f>
        <v/>
      </c>
    </row>
    <row r="100">
      <c r="A100" s="12" t="inlineStr">
        <is>
          <t>contact_avoided</t>
        </is>
      </c>
      <c r="B100" s="13" t="inlineStr">
        <is>
          <t>Contact centre calls avoided per MAU per year</t>
        </is>
      </c>
      <c r="C100" s="5" t="inlineStr">
        <is>
          <t>calls per year</t>
        </is>
      </c>
      <c r="D100" s="19" t="n">
        <v>0</v>
      </c>
      <c r="E100" s="23" t="n">
        <v>0.2</v>
      </c>
      <c r="F100" s="19" t="n">
        <v>1</v>
      </c>
      <c r="G100" s="15" t="inlineStr">
        <is>
          <t>+</t>
        </is>
      </c>
      <c r="H100" s="13" t="inlineStr">
        <is>
          <t>Assumption</t>
        </is>
      </c>
      <c r="I100" s="5" t="inlineStr">
        <is>
          <t>2026-10-20</t>
        </is>
      </c>
      <c r="J100" s="13" t="inlineStr">
        <is>
          <t>Balance and "why was I charged" calls</t>
        </is>
      </c>
      <c r="K100" s="22">
        <f>IF($G100="+",MIN(D100,F100),MAX(D100,F100))</f>
        <v/>
      </c>
      <c r="L100" s="22">
        <f>E100</f>
        <v/>
      </c>
      <c r="M100" s="22">
        <f>IF($G100="+",MAX(D100,F100),MIN(D100,F100))</f>
        <v/>
      </c>
    </row>
    <row r="101">
      <c r="A101" s="12" t="inlineStr">
        <is>
          <t>cost_per_call</t>
        </is>
      </c>
      <c r="B101" s="13" t="inlineStr">
        <is>
          <t>Bank cost per contact centre call</t>
        </is>
      </c>
      <c r="C101" s="5" t="inlineStr">
        <is>
          <t>ZAR per call</t>
        </is>
      </c>
      <c r="D101" s="19" t="n">
        <v>20</v>
      </c>
      <c r="E101" s="19" t="n">
        <v>40</v>
      </c>
      <c r="F101" s="19" t="n">
        <v>80</v>
      </c>
      <c r="G101" s="15" t="inlineStr">
        <is>
          <t>+</t>
        </is>
      </c>
      <c r="H101" s="13" t="inlineStr">
        <is>
          <t>Assumption</t>
        </is>
      </c>
      <c r="I101" s="5" t="inlineStr">
        <is>
          <t>2026-10-20</t>
        </is>
      </c>
      <c r="J101" s="13" t="inlineStr"/>
      <c r="K101" s="16">
        <f>IF($G101="+",MIN(D101,F101),MAX(D101,F101))</f>
        <v/>
      </c>
      <c r="L101" s="16">
        <f>E101</f>
        <v/>
      </c>
      <c r="M101" s="16">
        <f>IF($G101="+",MAX(D101,F101),MIN(D101,F101))</f>
        <v/>
      </c>
    </row>
    <row r="102">
      <c r="A102" s="12" t="inlineStr">
        <is>
          <t>share_behaviour_change</t>
        </is>
      </c>
      <c r="B102" s="13" t="inlineStr">
        <is>
          <t>Share of MAU who change a decision because of the forecast in a month</t>
        </is>
      </c>
      <c r="C102" s="5" t="inlineStr">
        <is>
          <t>fraction</t>
        </is>
      </c>
      <c r="D102" s="20" t="n">
        <v>0.05</v>
      </c>
      <c r="E102" s="20" t="n">
        <v>0.2</v>
      </c>
      <c r="F102" s="20" t="n">
        <v>0.35</v>
      </c>
      <c r="G102" s="15" t="inlineStr">
        <is>
          <t>+</t>
        </is>
      </c>
      <c r="H102" s="13" t="inlineStr">
        <is>
          <t>Assumption</t>
        </is>
      </c>
      <c r="I102" s="5" t="inlineStr">
        <is>
          <t>2026-10-20</t>
        </is>
      </c>
      <c r="J102" s="13" t="inlineStr">
        <is>
          <t>Outcome metric: track "state transitions acted on"</t>
        </is>
      </c>
      <c r="K102" s="18">
        <f>IF($G102="+",MIN(D102,F102),MAX(D102,F102))</f>
        <v/>
      </c>
      <c r="L102" s="18">
        <f>E102</f>
        <v/>
      </c>
      <c r="M102" s="18">
        <f>IF($G102="+",MAX(D102,F102),MIN(D102,F102))</f>
        <v/>
      </c>
    </row>
    <row r="103">
      <c r="A103" s="12" t="inlineStr">
        <is>
          <t>days_cover_gained</t>
        </is>
      </c>
      <c r="B103" s="13" t="inlineStr">
        <is>
          <t>Days of cover gained per behaviour-changing user per month</t>
        </is>
      </c>
      <c r="C103" s="5" t="inlineStr">
        <is>
          <t>days</t>
        </is>
      </c>
      <c r="D103" s="23" t="n">
        <v>0.5</v>
      </c>
      <c r="E103" s="19" t="n">
        <v>2</v>
      </c>
      <c r="F103" s="19" t="n">
        <v>5</v>
      </c>
      <c r="G103" s="15" t="inlineStr">
        <is>
          <t>+</t>
        </is>
      </c>
      <c r="H103" s="13" t="inlineStr">
        <is>
          <t>Assumption</t>
        </is>
      </c>
      <c r="I103" s="5" t="inlineStr">
        <is>
          <t>2026-10-20</t>
        </is>
      </c>
      <c r="J103" s="13" t="inlineStr">
        <is>
          <t>Measured as forecast date versus actual run-out</t>
        </is>
      </c>
      <c r="K103" s="16">
        <f>IF($G103="+",MIN(D103,F103),MAX(D103,F103))</f>
        <v/>
      </c>
      <c r="L103" s="16">
        <f>E103</f>
        <v/>
      </c>
      <c r="M103" s="16">
        <f>IF($G103="+",MAX(D103,F103),MIN(D103,F103))</f>
        <v/>
      </c>
    </row>
    <row r="104">
      <c r="A104" s="12" t="inlineStr">
        <is>
          <t>shortfalls_avoided</t>
        </is>
      </c>
      <c r="B104" s="13" t="inlineStr">
        <is>
          <t>Short episodes avoided per active user per year</t>
        </is>
      </c>
      <c r="C104" s="5" t="inlineStr">
        <is>
          <t>episodes per year</t>
        </is>
      </c>
      <c r="D104" s="19" t="n">
        <v>0</v>
      </c>
      <c r="E104" s="23" t="n">
        <v>0.5</v>
      </c>
      <c r="F104" s="19" t="n">
        <v>2</v>
      </c>
      <c r="G104" s="15" t="inlineStr">
        <is>
          <t>+</t>
        </is>
      </c>
      <c r="H104" s="13" t="inlineStr">
        <is>
          <t>Assumption</t>
        </is>
      </c>
      <c r="I104" s="5" t="inlineStr">
        <is>
          <t>2026-10-20</t>
        </is>
      </c>
      <c r="J104" s="13" t="inlineStr"/>
      <c r="K104" s="22">
        <f>IF($G104="+",MIN(D104,F104),MAX(D104,F104))</f>
        <v/>
      </c>
      <c r="L104" s="22">
        <f>E104</f>
        <v/>
      </c>
      <c r="M104" s="22">
        <f>IF($G104="+",MAX(D104,F104),MIN(D104,F104))</f>
        <v/>
      </c>
    </row>
    <row r="105">
      <c r="A105" s="12" t="inlineStr">
        <is>
          <t>fees_avoided</t>
        </is>
      </c>
      <c r="B105" s="13" t="inlineStr">
        <is>
          <t>Bank and informal fees avoided per active user per year</t>
        </is>
      </c>
      <c r="C105" s="5" t="inlineStr">
        <is>
          <t>ZAR per year</t>
        </is>
      </c>
      <c r="D105" s="19" t="n">
        <v>0</v>
      </c>
      <c r="E105" s="19" t="n">
        <v>30</v>
      </c>
      <c r="F105" s="19" t="n">
        <v>260</v>
      </c>
      <c r="G105" s="15" t="inlineStr">
        <is>
          <t>+</t>
        </is>
      </c>
      <c r="H105" s="13" t="inlineStr">
        <is>
          <t>Assumption</t>
        </is>
      </c>
      <c r="I105" s="5" t="inlineStr">
        <is>
          <t>2026-10-20</t>
        </is>
      </c>
      <c r="J105" s="13" t="inlineStr">
        <is>
          <t>Unpaid debit order fees alone give share_users_unpaid x unpaid_events_per_user x unpaid_reduction x fee: 0.25 x 2 x 0.10 x R25 = R1.25 in the base. The rest of the R30 is assumed avoided late-payment and informal lending costs. High uses 0.40 x 4 x 0.30 x R130 plus other costs, capped at R260</t>
        </is>
      </c>
      <c r="K105" s="16">
        <f>IF($G105="+",MIN(D105,F105),MAX(D105,F105))</f>
        <v/>
      </c>
      <c r="L105" s="16">
        <f>E105</f>
        <v/>
      </c>
      <c r="M105" s="16">
        <f>IF($G105="+",MAX(D105,F105),MIN(D105,F105))</f>
        <v/>
      </c>
    </row>
    <row r="106">
      <c r="A106" s="12" t="inlineStr">
        <is>
          <t>confidence_baseline</t>
        </is>
      </c>
      <c r="B106" s="13" t="inlineStr">
        <is>
          <t>Baseline share able to raise money in 30 days (proxy for confidence)</t>
        </is>
      </c>
      <c r="C106" s="5" t="inlineStr">
        <is>
          <t>fraction</t>
        </is>
      </c>
      <c r="D106" s="17" t="n">
        <v>0.183</v>
      </c>
      <c r="E106" s="17" t="n">
        <v>0.308</v>
      </c>
      <c r="F106" s="17" t="n">
        <v>0.308</v>
      </c>
      <c r="G106" s="15" t="inlineStr">
        <is>
          <t>+</t>
        </is>
      </c>
      <c r="H106" s="13" t="inlineStr">
        <is>
          <t>Little Data Book 2025, South Africa page</t>
        </is>
      </c>
      <c r="I106" s="5" t="inlineStr">
        <is>
          <t>2026-10-20</t>
        </is>
      </c>
      <c r="J106" s="13" t="inlineStr">
        <is>
          <t>Proposed survey item: "How sure are you that your money will last until your next money?" (5 point scale)</t>
        </is>
      </c>
      <c r="K106" s="18">
        <f>IF($G106="+",MIN(D106,F106),MAX(D106,F106))</f>
        <v/>
      </c>
      <c r="L106" s="18">
        <f>E106</f>
        <v/>
      </c>
      <c r="M106" s="18">
        <f>IF($G106="+",MAX(D106,F106),MIN(D106,F106))</f>
        <v/>
      </c>
    </row>
    <row r="107">
      <c r="A107" s="12" t="inlineStr">
        <is>
          <t>confidence_change</t>
        </is>
      </c>
      <c r="B107" s="13" t="inlineStr">
        <is>
          <t>Change in share reporting confidence after 3 months</t>
        </is>
      </c>
      <c r="C107" s="5" t="inlineStr">
        <is>
          <t>fraction</t>
        </is>
      </c>
      <c r="D107" s="20" t="n">
        <v>0</v>
      </c>
      <c r="E107" s="20" t="n">
        <v>0.05</v>
      </c>
      <c r="F107" s="20" t="n">
        <v>0.1</v>
      </c>
      <c r="G107" s="15" t="inlineStr">
        <is>
          <t>+</t>
        </is>
      </c>
      <c r="H107" s="13" t="inlineStr">
        <is>
          <t>Assumption</t>
        </is>
      </c>
      <c r="I107" s="5" t="inlineStr">
        <is>
          <t>2026-10-20</t>
        </is>
      </c>
      <c r="J107" s="13" t="inlineStr">
        <is>
          <t>Needs a pre and post survey with a comparison group</t>
        </is>
      </c>
      <c r="K107" s="18">
        <f>IF($G107="+",MIN(D107,F107),MAX(D107,F107))</f>
        <v/>
      </c>
      <c r="L107" s="18">
        <f>E107</f>
        <v/>
      </c>
      <c r="M107" s="18">
        <f>IF($G107="+",MAX(D107,F107),MIN(D107,F107))</f>
        <v/>
      </c>
    </row>
    <row r="108">
      <c r="A108" s="12" t="inlineStr">
        <is>
          <t>d30_finance_apps</t>
        </is>
      </c>
      <c r="B108" s="13" t="inlineStr">
        <is>
          <t>Day 30 retention, finance apps</t>
        </is>
      </c>
      <c r="C108" s="5" t="inlineStr">
        <is>
          <t>fraction</t>
        </is>
      </c>
      <c r="D108" s="17" t="n">
        <v>0.042</v>
      </c>
      <c r="E108" s="17" t="n">
        <v>0.042</v>
      </c>
      <c r="F108" s="17" t="n">
        <v>0.15</v>
      </c>
      <c r="G108" s="15" t="inlineStr">
        <is>
          <t>+</t>
        </is>
      </c>
      <c r="H108" s="13" t="inlineStr">
        <is>
          <t>https://www.getpanto.ai/blog/mobile-app-retention-statistics</t>
        </is>
      </c>
      <c r="I108" s="5" t="inlineStr">
        <is>
          <t>2026-10-20</t>
        </is>
      </c>
      <c r="J108" s="13" t="inlineStr">
        <is>
          <t>Vendor blog, unattributed figure. High is the same page's 10 to 15 percent for fintech and banking apps</t>
        </is>
      </c>
      <c r="K108" s="18">
        <f>IF($G108="+",MIN(D108,F108),MAX(D108,F108))</f>
        <v/>
      </c>
      <c r="L108" s="18">
        <f>E108</f>
        <v/>
      </c>
      <c r="M108" s="18">
        <f>IF($G108="+",MAX(D108,F108),MIN(D108,F108))</f>
        <v/>
      </c>
    </row>
    <row r="109">
      <c r="A109" s="12" t="inlineStr">
        <is>
          <t>d1_fintech</t>
        </is>
      </c>
      <c r="B109" s="13" t="inlineStr">
        <is>
          <t>Day 1 retention, fintech apps</t>
        </is>
      </c>
      <c r="C109" s="5" t="inlineStr">
        <is>
          <t>fraction</t>
        </is>
      </c>
      <c r="D109" s="17" t="n">
        <v>0.15</v>
      </c>
      <c r="E109" s="17" t="n">
        <v>0.22</v>
      </c>
      <c r="F109" s="17" t="n">
        <v>0.3</v>
      </c>
      <c r="G109" s="15" t="inlineStr">
        <is>
          <t>+</t>
        </is>
      </c>
      <c r="H109" s="13" t="inlineStr">
        <is>
          <t>Same page</t>
        </is>
      </c>
      <c r="I109" s="5" t="inlineStr">
        <is>
          <t>2026-10-20</t>
        </is>
      </c>
      <c r="J109" s="13" t="inlineStr">
        <is>
          <t>Weak source. Range Assumption</t>
        </is>
      </c>
      <c r="K109" s="18">
        <f>IF($G109="+",MIN(D109,F109),MAX(D109,F109))</f>
        <v/>
      </c>
      <c r="L109" s="18">
        <f>E109</f>
        <v/>
      </c>
      <c r="M109" s="18">
        <f>IF($G109="+",MAX(D109,F109),MIN(D109,F109))</f>
        <v/>
      </c>
    </row>
    <row r="110">
      <c r="A110" s="12" t="inlineStr">
        <is>
          <t>uninstall_m1</t>
        </is>
      </c>
      <c r="B110" s="13" t="inlineStr">
        <is>
          <t>Share of finance app installs uninstalled in month one</t>
        </is>
      </c>
      <c r="C110" s="5" t="inlineStr">
        <is>
          <t>fraction</t>
        </is>
      </c>
      <c r="D110" s="17" t="n">
        <v>0.45</v>
      </c>
      <c r="E110" s="17" t="n">
        <v>0.475</v>
      </c>
      <c r="F110" s="17" t="n">
        <v>0.5</v>
      </c>
      <c r="G110" s="15" t="inlineStr">
        <is>
          <t>-</t>
        </is>
      </c>
      <c r="H110" s="13" t="inlineStr">
        <is>
          <t>https://clevertap.com/wp-content/uploads/2025/11/BFSI-Benchmark-Report-Retention.pdf</t>
        </is>
      </c>
      <c r="I110" s="5" t="inlineStr">
        <is>
          <t>2026-10-20</t>
        </is>
      </c>
      <c r="J110" s="13" t="inlineStr">
        <is>
          <t>From search snippet, not opened</t>
        </is>
      </c>
      <c r="K110" s="18">
        <f>IF($G110="+",MIN(D110,F110),MAX(D110,F110))</f>
        <v/>
      </c>
      <c r="L110" s="18">
        <f>E110</f>
        <v/>
      </c>
      <c r="M110" s="18">
        <f>IF($G110="+",MAX(D110,F110),MIN(D110,F110))</f>
        <v/>
      </c>
    </row>
    <row r="111">
      <c r="A111" s="12" t="inlineStr">
        <is>
          <t>churn_embedded</t>
        </is>
      </c>
      <c r="B111" s="13" t="inlineStr">
        <is>
          <t>Monthly churn of activated users, embedded in a bank app</t>
        </is>
      </c>
      <c r="C111" s="5" t="inlineStr">
        <is>
          <t>fraction</t>
        </is>
      </c>
      <c r="D111" s="20" t="n">
        <v>0.02</v>
      </c>
      <c r="E111" s="20" t="n">
        <v>0.04</v>
      </c>
      <c r="F111" s="20" t="n">
        <v>0.08</v>
      </c>
      <c r="G111" s="15" t="inlineStr">
        <is>
          <t>-</t>
        </is>
      </c>
      <c r="H111" s="13" t="inlineStr">
        <is>
          <t>Assumption</t>
        </is>
      </c>
      <c r="I111" s="5" t="inlineStr">
        <is>
          <t>2026-10-20</t>
        </is>
      </c>
      <c r="J111" s="13" t="inlineStr">
        <is>
          <t>Bank app is opened anyway; feature churn is lower than app churn</t>
        </is>
      </c>
      <c r="K111" s="18">
        <f>IF($G111="+",MIN(D111,F111),MAX(D111,F111))</f>
        <v/>
      </c>
      <c r="L111" s="18">
        <f>E111</f>
        <v/>
      </c>
      <c r="M111" s="18">
        <f>IF($G111="+",MAX(D111,F111),MIN(D111,F111))</f>
        <v/>
      </c>
    </row>
    <row r="112">
      <c r="A112" s="12" t="inlineStr">
        <is>
          <t>churn_consumer</t>
        </is>
      </c>
      <c r="B112" s="13" t="inlineStr">
        <is>
          <t>Monthly churn of paying subscribers, standalone</t>
        </is>
      </c>
      <c r="C112" s="5" t="inlineStr">
        <is>
          <t>fraction</t>
        </is>
      </c>
      <c r="D112" s="20" t="n">
        <v>0.08</v>
      </c>
      <c r="E112" s="20" t="n">
        <v>0.12</v>
      </c>
      <c r="F112" s="20" t="n">
        <v>0.25</v>
      </c>
      <c r="G112" s="15" t="inlineStr">
        <is>
          <t>-</t>
        </is>
      </c>
      <c r="H112" s="13" t="inlineStr">
        <is>
          <t>Assumption</t>
        </is>
      </c>
      <c r="I112" s="5" t="inlineStr">
        <is>
          <t>2026-10-20</t>
        </is>
      </c>
      <c r="J112" s="13" t="inlineStr">
        <is>
          <t>Above the weak public figure of about 10 percent for budgeting subscriptions</t>
        </is>
      </c>
      <c r="K112" s="18">
        <f>IF($G112="+",MIN(D112,F112),MAX(D112,F112))</f>
        <v/>
      </c>
      <c r="L112" s="18">
        <f>E112</f>
        <v/>
      </c>
      <c r="M112" s="18">
        <f>IF($G112="+",MAX(D112,F112),MIN(D112,F112))</f>
        <v/>
      </c>
    </row>
    <row r="113">
      <c r="A113" s="12" t="inlineStr">
        <is>
          <t>cpi_global</t>
        </is>
      </c>
      <c r="B113" s="13" t="inlineStr">
        <is>
          <t>Facebook cost per app install, global median baseline</t>
        </is>
      </c>
      <c r="C113" s="5" t="inlineStr">
        <is>
          <t>USD per install</t>
        </is>
      </c>
      <c r="D113" s="14" t="n">
        <v>1.98</v>
      </c>
      <c r="E113" s="14" t="n">
        <v>15.6</v>
      </c>
      <c r="F113" s="14" t="n">
        <v>26.21</v>
      </c>
      <c r="G113" s="15" t="inlineStr">
        <is>
          <t>-</t>
        </is>
      </c>
      <c r="H113" s="13" t="inlineStr">
        <is>
          <t>https://www.superads.ai/facebook-ads-costs/cost-per-app-install/marketplaces/south-africa</t>
        </is>
      </c>
      <c r="I113" s="5" t="inlineStr">
        <is>
          <t>2026-10-20</t>
        </is>
      </c>
      <c r="J113" s="13" t="inlineStr">
        <is>
          <t>Vendor tool, global not South African, not finance specific. Use only as a ceiling check. SA CPI is likely lower (Assumption)</t>
        </is>
      </c>
      <c r="K113" s="16">
        <f>IF($G113="+",MIN(D113,F113),MAX(D113,F113))</f>
        <v/>
      </c>
      <c r="L113" s="16">
        <f>E113</f>
        <v/>
      </c>
      <c r="M113" s="16">
        <f>IF($G113="+",MAX(D113,F113),MIN(D113,F113))</f>
        <v/>
      </c>
    </row>
    <row r="114">
      <c r="A114" s="12" t="inlineStr">
        <is>
          <t>install_to_active</t>
        </is>
      </c>
      <c r="B114" s="13" t="inlineStr">
        <is>
          <t>Share of installs that become monthly active</t>
        </is>
      </c>
      <c r="C114" s="5" t="inlineStr">
        <is>
          <t>fraction</t>
        </is>
      </c>
      <c r="D114" s="20" t="n">
        <v>0.1</v>
      </c>
      <c r="E114" s="20" t="n">
        <v>0.25</v>
      </c>
      <c r="F114" s="20" t="n">
        <v>0.4</v>
      </c>
      <c r="G114" s="15" t="inlineStr">
        <is>
          <t>+</t>
        </is>
      </c>
      <c r="H114" s="13" t="inlineStr">
        <is>
          <t>Assumption</t>
        </is>
      </c>
      <c r="I114" s="5" t="inlineStr">
        <is>
          <t>2026-10-20</t>
        </is>
      </c>
      <c r="J114" s="13" t="inlineStr"/>
      <c r="K114" s="18">
        <f>IF($G114="+",MIN(D114,F114),MAX(D114,F114))</f>
        <v/>
      </c>
      <c r="L114" s="18">
        <f>E114</f>
        <v/>
      </c>
      <c r="M114" s="18">
        <f>IF($G114="+",MAX(D114,F114),MIN(D114,F114))</f>
        <v/>
      </c>
    </row>
    <row r="115">
      <c r="A115" s="12" t="inlineStr">
        <is>
          <t>cac_consumer</t>
        </is>
      </c>
      <c r="B115" s="13" t="inlineStr">
        <is>
          <t>Blended CAC for a standalone consumer user</t>
        </is>
      </c>
      <c r="C115" s="5" t="inlineStr">
        <is>
          <t>ZAR per MAU</t>
        </is>
      </c>
      <c r="D115" s="19" t="n">
        <v>40</v>
      </c>
      <c r="E115" s="19" t="n">
        <v>120</v>
      </c>
      <c r="F115" s="19" t="n">
        <v>400</v>
      </c>
      <c r="G115" s="15" t="inlineStr">
        <is>
          <t>-</t>
        </is>
      </c>
      <c r="H115" s="13" t="inlineStr">
        <is>
          <t>Assumption</t>
        </is>
      </c>
      <c r="I115" s="5" t="inlineStr">
        <is>
          <t>2026-10-20</t>
        </is>
      </c>
      <c r="J115" s="13" t="inlineStr">
        <is>
          <t>Assumes SA CPI of R30 (R10 to R100) divided by install_to_active</t>
        </is>
      </c>
      <c r="K115" s="16">
        <f>IF($G115="+",MIN(D115,F115),MAX(D115,F115))</f>
        <v/>
      </c>
      <c r="L115" s="16">
        <f>E115</f>
        <v/>
      </c>
      <c r="M115" s="16">
        <f>IF($G115="+",MAX(D115,F115),MIN(D115,F115))</f>
        <v/>
      </c>
    </row>
    <row r="116">
      <c r="A116" s="12" t="inlineStr">
        <is>
          <t>cac_embedded</t>
        </is>
      </c>
      <c r="B116" s="13" t="inlineStr">
        <is>
          <t>Tengo's CAC per MAU when the bank distributes</t>
        </is>
      </c>
      <c r="C116" s="5" t="inlineStr">
        <is>
          <t>ZAR per MAU</t>
        </is>
      </c>
      <c r="D116" s="19" t="n">
        <v>0</v>
      </c>
      <c r="E116" s="19" t="n">
        <v>10</v>
      </c>
      <c r="F116" s="19" t="n">
        <v>50</v>
      </c>
      <c r="G116" s="15" t="inlineStr">
        <is>
          <t>-</t>
        </is>
      </c>
      <c r="H116" s="13" t="inlineStr">
        <is>
          <t>Assumption</t>
        </is>
      </c>
      <c r="I116" s="5" t="inlineStr">
        <is>
          <t>2026-10-20</t>
        </is>
      </c>
      <c r="J116" s="13" t="inlineStr">
        <is>
          <t>Bank bears placement cost; Tengo bears onboarding content and co-marketing</t>
        </is>
      </c>
      <c r="K116" s="16">
        <f>IF($G116="+",MIN(D116,F116),MAX(D116,F116))</f>
        <v/>
      </c>
      <c r="L116" s="16">
        <f>E116</f>
        <v/>
      </c>
      <c r="M116" s="16">
        <f>IF($G116="+",MAX(D116,F116),MIN(D116,F116))</f>
        <v/>
      </c>
    </row>
    <row r="117">
      <c r="A117" s="12" t="inlineStr">
        <is>
          <t>cac_sponsor</t>
        </is>
      </c>
      <c r="B117" s="13" t="inlineStr">
        <is>
          <t>Cost to onboard one user through agents or NGOs</t>
        </is>
      </c>
      <c r="C117" s="5" t="inlineStr">
        <is>
          <t>ZAR per user</t>
        </is>
      </c>
      <c r="D117" s="19" t="n">
        <v>30</v>
      </c>
      <c r="E117" s="19" t="n">
        <v>80</v>
      </c>
      <c r="F117" s="19" t="n">
        <v>200</v>
      </c>
      <c r="G117" s="15" t="inlineStr">
        <is>
          <t>-</t>
        </is>
      </c>
      <c r="H117" s="13" t="inlineStr">
        <is>
          <t>Assumption</t>
        </is>
      </c>
      <c r="I117" s="5" t="inlineStr">
        <is>
          <t>2026-10-20</t>
        </is>
      </c>
      <c r="J117" s="13" t="inlineStr">
        <is>
          <t>Field onboarding, data-light</t>
        </is>
      </c>
      <c r="K117" s="16">
        <f>IF($G117="+",MIN(D117,F117),MAX(D117,F117))</f>
        <v/>
      </c>
      <c r="L117" s="16">
        <f>E117</f>
        <v/>
      </c>
      <c r="M117" s="16">
        <f>IF($G117="+",MAX(D117,F117),MIN(D117,F117))</f>
        <v/>
      </c>
    </row>
    <row r="118">
      <c r="A118" s="12" t="inlineStr">
        <is>
          <t>pilot_months</t>
        </is>
      </c>
      <c r="B118" s="13" t="inlineStr">
        <is>
          <t>Months of paid pilot before rollout</t>
        </is>
      </c>
      <c r="C118" s="5" t="inlineStr">
        <is>
          <t>months</t>
        </is>
      </c>
      <c r="D118" s="19" t="n">
        <v>9</v>
      </c>
      <c r="E118" s="19" t="n">
        <v>6</v>
      </c>
      <c r="F118" s="19" t="n">
        <v>4</v>
      </c>
      <c r="G118" s="15" t="inlineStr">
        <is>
          <t>-</t>
        </is>
      </c>
      <c r="H118" s="13" t="inlineStr">
        <is>
          <t>Assumption</t>
        </is>
      </c>
      <c r="I118" s="5" t="inlineStr">
        <is>
          <t>2026-10-20</t>
        </is>
      </c>
      <c r="J118" s="13" t="inlineStr">
        <is>
          <t>Typical bank pilots run one to two quarters</t>
        </is>
      </c>
      <c r="K118" s="16">
        <f>IF($G118="+",MIN(D118,F118),MAX(D118,F118))</f>
        <v/>
      </c>
      <c r="L118" s="16">
        <f>E118</f>
        <v/>
      </c>
      <c r="M118" s="16">
        <f>IF($G118="+",MAX(D118,F118),MIN(D118,F118))</f>
        <v/>
      </c>
    </row>
    <row r="119">
      <c r="A119" s="12" t="inlineStr">
        <is>
          <t>pilot_mau_share</t>
        </is>
      </c>
      <c r="B119" s="13" t="inlineStr">
        <is>
          <t>Pilot MAU as a share of steady-state MAU</t>
        </is>
      </c>
      <c r="C119" s="5" t="inlineStr">
        <is>
          <t>fraction</t>
        </is>
      </c>
      <c r="D119" s="23" t="n">
        <v>0.02</v>
      </c>
      <c r="E119" s="23" t="n">
        <v>0.05</v>
      </c>
      <c r="F119" s="23" t="n">
        <v>0.1</v>
      </c>
      <c r="G119" s="15" t="inlineStr">
        <is>
          <t>+</t>
        </is>
      </c>
      <c r="H119" s="13" t="inlineStr">
        <is>
          <t>Assumption</t>
        </is>
      </c>
      <c r="I119" s="5" t="inlineStr">
        <is>
          <t>2026-10-20</t>
        </is>
      </c>
      <c r="J119" s="13" t="inlineStr">
        <is>
          <t>Pilot cohort behind a feature flag</t>
        </is>
      </c>
      <c r="K119" s="22">
        <f>IF($G119="+",MIN(D119,F119),MAX(D119,F119))</f>
        <v/>
      </c>
      <c r="L119" s="22">
        <f>E119</f>
        <v/>
      </c>
      <c r="M119" s="22">
        <f>IF($G119="+",MAX(D119,F119),MIN(D119,F119))</f>
        <v/>
      </c>
    </row>
    <row r="120">
      <c r="A120" s="12" t="inlineStr">
        <is>
          <t>ramp_months</t>
        </is>
      </c>
      <c r="B120" s="13" t="inlineStr">
        <is>
          <t>Months from end of pilot to steady-state MAU</t>
        </is>
      </c>
      <c r="C120" s="5" t="inlineStr">
        <is>
          <t>months</t>
        </is>
      </c>
      <c r="D120" s="19" t="n">
        <v>18</v>
      </c>
      <c r="E120" s="19" t="n">
        <v>12</v>
      </c>
      <c r="F120" s="19" t="n">
        <v>9</v>
      </c>
      <c r="G120" s="15" t="inlineStr">
        <is>
          <t>-</t>
        </is>
      </c>
      <c r="H120" s="13" t="inlineStr">
        <is>
          <t>Assumption</t>
        </is>
      </c>
      <c r="I120" s="5" t="inlineStr">
        <is>
          <t>2026-10-20</t>
        </is>
      </c>
      <c r="J120" s="13" t="inlineStr">
        <is>
          <t>Linear ramp</t>
        </is>
      </c>
      <c r="K120" s="16">
        <f>IF($G120="+",MIN(D120,F120),MAX(D120,F120))</f>
        <v/>
      </c>
      <c r="L120" s="16">
        <f>E120</f>
        <v/>
      </c>
      <c r="M120" s="16">
        <f>IF($G120="+",MAX(D120,F120),MIN(D120,F120))</f>
        <v/>
      </c>
    </row>
    <row r="121">
      <c r="A121" s="12" t="inlineStr">
        <is>
          <t>opening_cash</t>
        </is>
      </c>
      <c r="B121" s="13" t="inlineStr">
        <is>
          <t>Cash available at month 0</t>
        </is>
      </c>
      <c r="C121" s="5" t="inlineStr">
        <is>
          <t>ZAR</t>
        </is>
      </c>
      <c r="D121" s="19" t="n">
        <v>0</v>
      </c>
      <c r="E121" s="19" t="n">
        <v>0</v>
      </c>
      <c r="F121" s="19" t="n">
        <v>0</v>
      </c>
      <c r="G121" s="15" t="inlineStr">
        <is>
          <t>+</t>
        </is>
      </c>
      <c r="H121" s="13" t="inlineStr">
        <is>
          <t>Assumption</t>
        </is>
      </c>
      <c r="I121" s="5" t="inlineStr">
        <is>
          <t>2026-10-20</t>
        </is>
      </c>
      <c r="J121" s="13" t="inlineStr">
        <is>
          <t>Set to zero so the projection shows the funding need</t>
        </is>
      </c>
      <c r="K121" s="16">
        <f>IF($G121="+",MIN(D121,F121),MAX(D121,F121))</f>
        <v/>
      </c>
      <c r="L121" s="16">
        <f>E121</f>
        <v/>
      </c>
      <c r="M121" s="16">
        <f>IF($G121="+",MAX(D121,F121),MIN(D121,F121))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4" t="inlineStr">
        <is>
          <t>Model: three scenarios side by side</t>
        </is>
      </c>
      <c r="B1" s="5" t="n"/>
      <c r="C1" s="5" t="n"/>
      <c r="D1" s="5" t="n"/>
      <c r="E1" s="5" t="n"/>
    </row>
    <row r="2">
      <c r="A2" s="5" t="n"/>
      <c r="B2" s="5" t="n"/>
      <c r="C2" s="5" t="n"/>
      <c r="D2" s="5" t="n"/>
      <c r="E2" s="5" t="n"/>
    </row>
    <row r="3">
      <c r="A3" s="6" t="inlineStr">
        <is>
          <t>Line</t>
        </is>
      </c>
      <c r="B3" s="6" t="inlineStr">
        <is>
          <t>Conservative</t>
        </is>
      </c>
      <c r="C3" s="6" t="inlineStr">
        <is>
          <t>Base</t>
        </is>
      </c>
      <c r="D3" s="6" t="inlineStr">
        <is>
          <t>Ambitious</t>
        </is>
      </c>
      <c r="E3" s="6" t="inlineStr">
        <is>
          <t>Formula or note</t>
        </is>
      </c>
    </row>
    <row r="4">
      <c r="A4" s="24" t="inlineStr">
        <is>
          <t>Inputs used (linked from the Inputs sheet)</t>
        </is>
      </c>
      <c r="B4" s="25" t="n"/>
      <c r="C4" s="25" t="n"/>
      <c r="D4" s="25" t="n"/>
      <c r="E4" s="25" t="n"/>
    </row>
    <row r="5">
      <c r="A5" s="5" t="inlineStr">
        <is>
          <t>Input: pop_15plus</t>
        </is>
      </c>
      <c r="B5" s="7">
        <f>INDEX(Inputs!$K$2:$K$121,MATCH("pop_15plus",Inputs!$A$2:$A$121,0))</f>
        <v/>
      </c>
      <c r="C5" s="7">
        <f>INDEX(Inputs!$L$2:$L$121,MATCH("pop_15plus",Inputs!$A$2:$A$121,0))</f>
        <v/>
      </c>
      <c r="D5" s="7">
        <f>INDEX(Inputs!$M$2:$M$121,MATCH("pop_15plus",Inputs!$A$2:$A$121,0))</f>
        <v/>
      </c>
      <c r="E5" s="5" t="inlineStr">
        <is>
          <t>From Inputs, key pop_15plus</t>
        </is>
      </c>
    </row>
    <row r="6">
      <c r="A6" s="5" t="inlineStr">
        <is>
          <t>Input: acct_ownership</t>
        </is>
      </c>
      <c r="B6" s="26">
        <f>INDEX(Inputs!$K$2:$K$121,MATCH("acct_ownership",Inputs!$A$2:$A$121,0))</f>
        <v/>
      </c>
      <c r="C6" s="26">
        <f>INDEX(Inputs!$L$2:$L$121,MATCH("acct_ownership",Inputs!$A$2:$A$121,0))</f>
        <v/>
      </c>
      <c r="D6" s="26">
        <f>INDEX(Inputs!$M$2:$M$121,MATCH("acct_ownership",Inputs!$A$2:$A$121,0))</f>
        <v/>
      </c>
      <c r="E6" s="5" t="inlineStr">
        <is>
          <t>From Inputs, key acct_ownership</t>
        </is>
      </c>
    </row>
    <row r="7">
      <c r="A7" s="5" t="inlineStr">
        <is>
          <t>Input: smartphone_own</t>
        </is>
      </c>
      <c r="B7" s="26">
        <f>INDEX(Inputs!$K$2:$K$121,MATCH("smartphone_own",Inputs!$A$2:$A$121,0))</f>
        <v/>
      </c>
      <c r="C7" s="26">
        <f>INDEX(Inputs!$L$2:$L$121,MATCH("smartphone_own",Inputs!$A$2:$A$121,0))</f>
        <v/>
      </c>
      <c r="D7" s="26">
        <f>INDEX(Inputs!$M$2:$M$121,MATCH("smartphone_own",Inputs!$A$2:$A$121,0))</f>
        <v/>
      </c>
      <c r="E7" s="5" t="inlineStr">
        <is>
          <t>From Inputs, key smartphone_own</t>
        </is>
      </c>
    </row>
    <row r="8">
      <c r="A8" s="5" t="inlineStr">
        <is>
          <t>Input: informal_sector_emp</t>
        </is>
      </c>
      <c r="B8" s="7">
        <f>INDEX(Inputs!$K$2:$K$121,MATCH("informal_sector_emp",Inputs!$A$2:$A$121,0))</f>
        <v/>
      </c>
      <c r="C8" s="7">
        <f>INDEX(Inputs!$L$2:$L$121,MATCH("informal_sector_emp",Inputs!$A$2:$A$121,0))</f>
        <v/>
      </c>
      <c r="D8" s="7">
        <f>INDEX(Inputs!$M$2:$M$121,MATCH("informal_sector_emp",Inputs!$A$2:$A$121,0))</f>
        <v/>
      </c>
      <c r="E8" s="5" t="inlineStr">
        <is>
          <t>From Inputs, key informal_sector_emp</t>
        </is>
      </c>
    </row>
    <row r="9">
      <c r="A9" s="5" t="inlineStr">
        <is>
          <t>Input: household_sector_emp</t>
        </is>
      </c>
      <c r="B9" s="7">
        <f>INDEX(Inputs!$K$2:$K$121,MATCH("household_sector_emp",Inputs!$A$2:$A$121,0))</f>
        <v/>
      </c>
      <c r="C9" s="7">
        <f>INDEX(Inputs!$L$2:$L$121,MATCH("household_sector_emp",Inputs!$A$2:$A$121,0))</f>
        <v/>
      </c>
      <c r="D9" s="7">
        <f>INDEX(Inputs!$M$2:$M$121,MATCH("household_sector_emp",Inputs!$A$2:$A$121,0))</f>
        <v/>
      </c>
      <c r="E9" s="5" t="inlineStr">
        <is>
          <t>From Inputs, key household_sector_emp</t>
        </is>
      </c>
    </row>
    <row r="10">
      <c r="A10" s="5" t="inlineStr">
        <is>
          <t>Input: tam_irregular_adults</t>
        </is>
      </c>
      <c r="B10" s="7">
        <f>INDEX(Inputs!$K$2:$K$121,MATCH("tam_irregular_adults",Inputs!$A$2:$A$121,0))</f>
        <v/>
      </c>
      <c r="C10" s="7">
        <f>INDEX(Inputs!$L$2:$L$121,MATCH("tam_irregular_adults",Inputs!$A$2:$A$121,0))</f>
        <v/>
      </c>
      <c r="D10" s="7">
        <f>INDEX(Inputs!$M$2:$M$121,MATCH("tam_irregular_adults",Inputs!$A$2:$A$121,0))</f>
        <v/>
      </c>
      <c r="E10" s="5" t="inlineStr">
        <is>
          <t>From Inputs, key tam_irregular_adults</t>
        </is>
      </c>
    </row>
    <row r="11">
      <c r="A11" s="5" t="inlineStr">
        <is>
          <t>Input: sam_share_banked_smartphone</t>
        </is>
      </c>
      <c r="B11" s="26">
        <f>INDEX(Inputs!$K$2:$K$121,MATCH("sam_share_banked_smartphone",Inputs!$A$2:$A$121,0))</f>
        <v/>
      </c>
      <c r="C11" s="26">
        <f>INDEX(Inputs!$L$2:$L$121,MATCH("sam_share_banked_smartphone",Inputs!$A$2:$A$121,0))</f>
        <v/>
      </c>
      <c r="D11" s="26">
        <f>INDEX(Inputs!$M$2:$M$121,MATCH("sam_share_banked_smartphone",Inputs!$A$2:$A$121,0))</f>
        <v/>
      </c>
      <c r="E11" s="5" t="inlineStr">
        <is>
          <t>From Inputs, key sam_share_banked_smartphone</t>
        </is>
      </c>
    </row>
    <row r="12">
      <c r="A12" s="5" t="inlineStr">
        <is>
          <t>Input: partner_base</t>
        </is>
      </c>
      <c r="B12" s="7">
        <f>INDEX(Inputs!$K$2:$K$121,MATCH("partner_base",Inputs!$A$2:$A$121,0))</f>
        <v/>
      </c>
      <c r="C12" s="7">
        <f>INDEX(Inputs!$L$2:$L$121,MATCH("partner_base",Inputs!$A$2:$A$121,0))</f>
        <v/>
      </c>
      <c r="D12" s="7">
        <f>INDEX(Inputs!$M$2:$M$121,MATCH("partner_base",Inputs!$A$2:$A$121,0))</f>
        <v/>
      </c>
      <c r="E12" s="5" t="inlineStr">
        <is>
          <t>From Inputs, key partner_base</t>
        </is>
      </c>
    </row>
    <row r="13">
      <c r="A13" s="5" t="inlineStr">
        <is>
          <t>Input: share_partner_irregular</t>
        </is>
      </c>
      <c r="B13" s="26">
        <f>INDEX(Inputs!$K$2:$K$121,MATCH("share_partner_irregular",Inputs!$A$2:$A$121,0))</f>
        <v/>
      </c>
      <c r="C13" s="26">
        <f>INDEX(Inputs!$L$2:$L$121,MATCH("share_partner_irregular",Inputs!$A$2:$A$121,0))</f>
        <v/>
      </c>
      <c r="D13" s="26">
        <f>INDEX(Inputs!$M$2:$M$121,MATCH("share_partner_irregular",Inputs!$A$2:$A$121,0))</f>
        <v/>
      </c>
      <c r="E13" s="5" t="inlineStr">
        <is>
          <t>From Inputs, key share_partner_irregular</t>
        </is>
      </c>
    </row>
    <row r="14">
      <c r="A14" s="5" t="inlineStr">
        <is>
          <t>Input: share_eligible_offered</t>
        </is>
      </c>
      <c r="B14" s="26">
        <f>INDEX(Inputs!$K$2:$K$121,MATCH("share_eligible_offered",Inputs!$A$2:$A$121,0))</f>
        <v/>
      </c>
      <c r="C14" s="26">
        <f>INDEX(Inputs!$L$2:$L$121,MATCH("share_eligible_offered",Inputs!$A$2:$A$121,0))</f>
        <v/>
      </c>
      <c r="D14" s="26">
        <f>INDEX(Inputs!$M$2:$M$121,MATCH("share_eligible_offered",Inputs!$A$2:$A$121,0))</f>
        <v/>
      </c>
      <c r="E14" s="5" t="inlineStr">
        <is>
          <t>From Inputs, key share_eligible_offered</t>
        </is>
      </c>
    </row>
    <row r="15">
      <c r="A15" s="5" t="inlineStr">
        <is>
          <t>Input: offered_to_activated</t>
        </is>
      </c>
      <c r="B15" s="26">
        <f>INDEX(Inputs!$K$2:$K$121,MATCH("offered_to_activated",Inputs!$A$2:$A$121,0))</f>
        <v/>
      </c>
      <c r="C15" s="26">
        <f>INDEX(Inputs!$L$2:$L$121,MATCH("offered_to_activated",Inputs!$A$2:$A$121,0))</f>
        <v/>
      </c>
      <c r="D15" s="26">
        <f>INDEX(Inputs!$M$2:$M$121,MATCH("offered_to_activated",Inputs!$A$2:$A$121,0))</f>
        <v/>
      </c>
      <c r="E15" s="5" t="inlineStr">
        <is>
          <t>From Inputs, key offered_to_activated</t>
        </is>
      </c>
    </row>
    <row r="16">
      <c r="A16" s="5" t="inlineStr">
        <is>
          <t>Input: activated_to_mau</t>
        </is>
      </c>
      <c r="B16" s="26">
        <f>INDEX(Inputs!$K$2:$K$121,MATCH("activated_to_mau",Inputs!$A$2:$A$121,0))</f>
        <v/>
      </c>
      <c r="C16" s="26">
        <f>INDEX(Inputs!$L$2:$L$121,MATCH("activated_to_mau",Inputs!$A$2:$A$121,0))</f>
        <v/>
      </c>
      <c r="D16" s="26">
        <f>INDEX(Inputs!$M$2:$M$121,MATCH("activated_to_mau",Inputs!$A$2:$A$121,0))</f>
        <v/>
      </c>
      <c r="E16" s="5" t="inlineStr">
        <is>
          <t>From Inputs, key activated_to_mau</t>
        </is>
      </c>
    </row>
    <row r="17">
      <c r="A17" s="5" t="inlineStr">
        <is>
          <t>Input: sponsor_reach</t>
        </is>
      </c>
      <c r="B17" s="7">
        <f>INDEX(Inputs!$K$2:$K$121,MATCH("sponsor_reach",Inputs!$A$2:$A$121,0))</f>
        <v/>
      </c>
      <c r="C17" s="7">
        <f>INDEX(Inputs!$L$2:$L$121,MATCH("sponsor_reach",Inputs!$A$2:$A$121,0))</f>
        <v/>
      </c>
      <c r="D17" s="7">
        <f>INDEX(Inputs!$M$2:$M$121,MATCH("sponsor_reach",Inputs!$A$2:$A$121,0))</f>
        <v/>
      </c>
      <c r="E17" s="5" t="inlineStr">
        <is>
          <t>From Inputs, key sponsor_reach</t>
        </is>
      </c>
    </row>
    <row r="18">
      <c r="A18" s="5" t="inlineStr">
        <is>
          <t>Input: usd_zar</t>
        </is>
      </c>
      <c r="B18" s="27">
        <f>INDEX(Inputs!$K$2:$K$121,MATCH("usd_zar",Inputs!$A$2:$A$121,0))</f>
        <v/>
      </c>
      <c r="C18" s="27">
        <f>INDEX(Inputs!$L$2:$L$121,MATCH("usd_zar",Inputs!$A$2:$A$121,0))</f>
        <v/>
      </c>
      <c r="D18" s="27">
        <f>INDEX(Inputs!$M$2:$M$121,MATCH("usd_zar",Inputs!$A$2:$A$121,0))</f>
        <v/>
      </c>
      <c r="E18" s="5" t="inlineStr">
        <is>
          <t>From Inputs, key usd_zar</t>
        </is>
      </c>
    </row>
    <row r="19">
      <c r="A19" s="5" t="inlineStr">
        <is>
          <t>Input: vat</t>
        </is>
      </c>
      <c r="B19" s="26">
        <f>INDEX(Inputs!$K$2:$K$121,MATCH("vat",Inputs!$A$2:$A$121,0))</f>
        <v/>
      </c>
      <c r="C19" s="26">
        <f>INDEX(Inputs!$L$2:$L$121,MATCH("vat",Inputs!$A$2:$A$121,0))</f>
        <v/>
      </c>
      <c r="D19" s="26">
        <f>INDEX(Inputs!$M$2:$M$121,MATCH("vat",Inputs!$A$2:$A$121,0))</f>
        <v/>
      </c>
      <c r="E19" s="5" t="inlineStr">
        <is>
          <t>From Inputs, key vat</t>
        </is>
      </c>
    </row>
    <row r="20">
      <c r="A20" s="5" t="inlineStr">
        <is>
          <t>Input: hosting_per_mau</t>
        </is>
      </c>
      <c r="B20" s="8">
        <f>INDEX(Inputs!$K$2:$K$121,MATCH("hosting_per_mau",Inputs!$A$2:$A$121,0))</f>
        <v/>
      </c>
      <c r="C20" s="8">
        <f>INDEX(Inputs!$L$2:$L$121,MATCH("hosting_per_mau",Inputs!$A$2:$A$121,0))</f>
        <v/>
      </c>
      <c r="D20" s="8">
        <f>INDEX(Inputs!$M$2:$M$121,MATCH("hosting_per_mau",Inputs!$A$2:$A$121,0))</f>
        <v/>
      </c>
      <c r="E20" s="5" t="inlineStr">
        <is>
          <t>From Inputs, key hosting_per_mau</t>
        </is>
      </c>
    </row>
    <row r="21">
      <c r="A21" s="5" t="inlineStr">
        <is>
          <t>Input: forecast_compute</t>
        </is>
      </c>
      <c r="B21" s="8">
        <f>INDEX(Inputs!$K$2:$K$121,MATCH("forecast_compute",Inputs!$A$2:$A$121,0))</f>
        <v/>
      </c>
      <c r="C21" s="8">
        <f>INDEX(Inputs!$L$2:$L$121,MATCH("forecast_compute",Inputs!$A$2:$A$121,0))</f>
        <v/>
      </c>
      <c r="D21" s="8">
        <f>INDEX(Inputs!$M$2:$M$121,MATCH("forecast_compute",Inputs!$A$2:$A$121,0))</f>
        <v/>
      </c>
      <c r="E21" s="5" t="inlineStr">
        <is>
          <t>From Inputs, key forecast_compute</t>
        </is>
      </c>
    </row>
    <row r="22">
      <c r="A22" s="5" t="inlineStr">
        <is>
          <t>Input: llm_in_price</t>
        </is>
      </c>
      <c r="B22" s="28">
        <f>INDEX(Inputs!$K$2:$K$121,MATCH("llm_in_price",Inputs!$A$2:$A$121,0))</f>
        <v/>
      </c>
      <c r="C22" s="28">
        <f>INDEX(Inputs!$L$2:$L$121,MATCH("llm_in_price",Inputs!$A$2:$A$121,0))</f>
        <v/>
      </c>
      <c r="D22" s="28">
        <f>INDEX(Inputs!$M$2:$M$121,MATCH("llm_in_price",Inputs!$A$2:$A$121,0))</f>
        <v/>
      </c>
      <c r="E22" s="5" t="inlineStr">
        <is>
          <t>From Inputs, key llm_in_price</t>
        </is>
      </c>
    </row>
    <row r="23">
      <c r="A23" s="5" t="inlineStr">
        <is>
          <t>Input: llm_out_price</t>
        </is>
      </c>
      <c r="B23" s="28">
        <f>INDEX(Inputs!$K$2:$K$121,MATCH("llm_out_price",Inputs!$A$2:$A$121,0))</f>
        <v/>
      </c>
      <c r="C23" s="28">
        <f>INDEX(Inputs!$L$2:$L$121,MATCH("llm_out_price",Inputs!$A$2:$A$121,0))</f>
        <v/>
      </c>
      <c r="D23" s="28">
        <f>INDEX(Inputs!$M$2:$M$121,MATCH("llm_out_price",Inputs!$A$2:$A$121,0))</f>
        <v/>
      </c>
      <c r="E23" s="5" t="inlineStr">
        <is>
          <t>From Inputs, key llm_out_price</t>
        </is>
      </c>
    </row>
    <row r="24">
      <c r="A24" s="5" t="inlineStr">
        <is>
          <t>Input: tokens_in_msg</t>
        </is>
      </c>
      <c r="B24" s="7">
        <f>INDEX(Inputs!$K$2:$K$121,MATCH("tokens_in_msg",Inputs!$A$2:$A$121,0))</f>
        <v/>
      </c>
      <c r="C24" s="7">
        <f>INDEX(Inputs!$L$2:$L$121,MATCH("tokens_in_msg",Inputs!$A$2:$A$121,0))</f>
        <v/>
      </c>
      <c r="D24" s="7">
        <f>INDEX(Inputs!$M$2:$M$121,MATCH("tokens_in_msg",Inputs!$A$2:$A$121,0))</f>
        <v/>
      </c>
      <c r="E24" s="5" t="inlineStr">
        <is>
          <t>From Inputs, key tokens_in_msg</t>
        </is>
      </c>
    </row>
    <row r="25">
      <c r="A25" s="5" t="inlineStr">
        <is>
          <t>Input: tokens_out_msg</t>
        </is>
      </c>
      <c r="B25" s="7">
        <f>INDEX(Inputs!$K$2:$K$121,MATCH("tokens_out_msg",Inputs!$A$2:$A$121,0))</f>
        <v/>
      </c>
      <c r="C25" s="7">
        <f>INDEX(Inputs!$L$2:$L$121,MATCH("tokens_out_msg",Inputs!$A$2:$A$121,0))</f>
        <v/>
      </c>
      <c r="D25" s="7">
        <f>INDEX(Inputs!$M$2:$M$121,MATCH("tokens_out_msg",Inputs!$A$2:$A$121,0))</f>
        <v/>
      </c>
      <c r="E25" s="5" t="inlineStr">
        <is>
          <t>From Inputs, key tokens_out_msg</t>
        </is>
      </c>
    </row>
    <row r="26">
      <c r="A26" s="5" t="inlineStr">
        <is>
          <t>Input: msgs_per_month</t>
        </is>
      </c>
      <c r="B26" s="7">
        <f>INDEX(Inputs!$K$2:$K$121,MATCH("msgs_per_month",Inputs!$A$2:$A$121,0))</f>
        <v/>
      </c>
      <c r="C26" s="7">
        <f>INDEX(Inputs!$L$2:$L$121,MATCH("msgs_per_month",Inputs!$A$2:$A$121,0))</f>
        <v/>
      </c>
      <c r="D26" s="7">
        <f>INDEX(Inputs!$M$2:$M$121,MATCH("msgs_per_month",Inputs!$A$2:$A$121,0))</f>
        <v/>
      </c>
      <c r="E26" s="5" t="inlineStr">
        <is>
          <t>From Inputs, key msgs_per_month</t>
        </is>
      </c>
    </row>
    <row r="27">
      <c r="A27" s="5" t="inlineStr">
        <is>
          <t>Input: wa_utility</t>
        </is>
      </c>
      <c r="B27" s="28">
        <f>INDEX(Inputs!$K$2:$K$121,MATCH("wa_utility",Inputs!$A$2:$A$121,0))</f>
        <v/>
      </c>
      <c r="C27" s="28">
        <f>INDEX(Inputs!$L$2:$L$121,MATCH("wa_utility",Inputs!$A$2:$A$121,0))</f>
        <v/>
      </c>
      <c r="D27" s="28">
        <f>INDEX(Inputs!$M$2:$M$121,MATCH("wa_utility",Inputs!$A$2:$A$121,0))</f>
        <v/>
      </c>
      <c r="E27" s="5" t="inlineStr">
        <is>
          <t>From Inputs, key wa_utility</t>
        </is>
      </c>
    </row>
    <row r="28">
      <c r="A28" s="5" t="inlineStr">
        <is>
          <t>Input: wa_bsp_fee</t>
        </is>
      </c>
      <c r="B28" s="8">
        <f>INDEX(Inputs!$K$2:$K$121,MATCH("wa_bsp_fee",Inputs!$A$2:$A$121,0))</f>
        <v/>
      </c>
      <c r="C28" s="8">
        <f>INDEX(Inputs!$L$2:$L$121,MATCH("wa_bsp_fee",Inputs!$A$2:$A$121,0))</f>
        <v/>
      </c>
      <c r="D28" s="8">
        <f>INDEX(Inputs!$M$2:$M$121,MATCH("wa_bsp_fee",Inputs!$A$2:$A$121,0))</f>
        <v/>
      </c>
      <c r="E28" s="5" t="inlineStr">
        <is>
          <t>From Inputs, key wa_bsp_fee</t>
        </is>
      </c>
    </row>
    <row r="29">
      <c r="A29" s="5" t="inlineStr">
        <is>
          <t>Input: sms_price</t>
        </is>
      </c>
      <c r="B29" s="8">
        <f>INDEX(Inputs!$K$2:$K$121,MATCH("sms_price",Inputs!$A$2:$A$121,0))</f>
        <v/>
      </c>
      <c r="C29" s="8">
        <f>INDEX(Inputs!$L$2:$L$121,MATCH("sms_price",Inputs!$A$2:$A$121,0))</f>
        <v/>
      </c>
      <c r="D29" s="8">
        <f>INDEX(Inputs!$M$2:$M$121,MATCH("sms_price",Inputs!$A$2:$A$121,0))</f>
        <v/>
      </c>
      <c r="E29" s="5" t="inlineStr">
        <is>
          <t>From Inputs, key sms_price</t>
        </is>
      </c>
    </row>
    <row r="30">
      <c r="A30" s="5" t="inlineStr">
        <is>
          <t>Input: push_cost</t>
        </is>
      </c>
      <c r="B30" s="8">
        <f>INDEX(Inputs!$K$2:$K$121,MATCH("push_cost",Inputs!$A$2:$A$121,0))</f>
        <v/>
      </c>
      <c r="C30" s="8">
        <f>INDEX(Inputs!$L$2:$L$121,MATCH("push_cost",Inputs!$A$2:$A$121,0))</f>
        <v/>
      </c>
      <c r="D30" s="8">
        <f>INDEX(Inputs!$M$2:$M$121,MATCH("push_cost",Inputs!$A$2:$A$121,0))</f>
        <v/>
      </c>
      <c r="E30" s="5" t="inlineStr">
        <is>
          <t>From Inputs, key push_cost</t>
        </is>
      </c>
    </row>
    <row r="31">
      <c r="A31" s="5" t="inlineStr">
        <is>
          <t>Input: support_per_mau</t>
        </is>
      </c>
      <c r="B31" s="8">
        <f>INDEX(Inputs!$K$2:$K$121,MATCH("support_per_mau",Inputs!$A$2:$A$121,0))</f>
        <v/>
      </c>
      <c r="C31" s="8">
        <f>INDEX(Inputs!$L$2:$L$121,MATCH("support_per_mau",Inputs!$A$2:$A$121,0))</f>
        <v/>
      </c>
      <c r="D31" s="8">
        <f>INDEX(Inputs!$M$2:$M$121,MATCH("support_per_mau",Inputs!$A$2:$A$121,0))</f>
        <v/>
      </c>
      <c r="E31" s="5" t="inlineStr">
        <is>
          <t>From Inputs, key support_per_mau</t>
        </is>
      </c>
    </row>
    <row r="32">
      <c r="A32" s="5" t="inlineStr">
        <is>
          <t>Input: compliance_fixed</t>
        </is>
      </c>
      <c r="B32" s="9">
        <f>INDEX(Inputs!$K$2:$K$121,MATCH("compliance_fixed",Inputs!$A$2:$A$121,0))</f>
        <v/>
      </c>
      <c r="C32" s="9">
        <f>INDEX(Inputs!$L$2:$L$121,MATCH("compliance_fixed",Inputs!$A$2:$A$121,0))</f>
        <v/>
      </c>
      <c r="D32" s="9">
        <f>INDEX(Inputs!$M$2:$M$121,MATCH("compliance_fixed",Inputs!$A$2:$A$121,0))</f>
        <v/>
      </c>
      <c r="E32" s="5" t="inlineStr">
        <is>
          <t>From Inputs, key compliance_fixed</t>
        </is>
      </c>
    </row>
    <row r="33">
      <c r="A33" s="5" t="inlineStr">
        <is>
          <t>Input: team_fixed</t>
        </is>
      </c>
      <c r="B33" s="9">
        <f>INDEX(Inputs!$K$2:$K$121,MATCH("team_fixed",Inputs!$A$2:$A$121,0))</f>
        <v/>
      </c>
      <c r="C33" s="9">
        <f>INDEX(Inputs!$L$2:$L$121,MATCH("team_fixed",Inputs!$A$2:$A$121,0))</f>
        <v/>
      </c>
      <c r="D33" s="9">
        <f>INDEX(Inputs!$M$2:$M$121,MATCH("team_fixed",Inputs!$A$2:$A$121,0))</f>
        <v/>
      </c>
      <c r="E33" s="5" t="inlineStr">
        <is>
          <t>From Inputs, key team_fixed</t>
        </is>
      </c>
    </row>
    <row r="34">
      <c r="A34" s="5" t="inlineStr">
        <is>
          <t>Input: db_base</t>
        </is>
      </c>
      <c r="B34" s="27">
        <f>INDEX(Inputs!$K$2:$K$121,MATCH("db_base",Inputs!$A$2:$A$121,0))</f>
        <v/>
      </c>
      <c r="C34" s="27">
        <f>INDEX(Inputs!$L$2:$L$121,MATCH("db_base",Inputs!$A$2:$A$121,0))</f>
        <v/>
      </c>
      <c r="D34" s="27">
        <f>INDEX(Inputs!$M$2:$M$121,MATCH("db_base",Inputs!$A$2:$A$121,0))</f>
        <v/>
      </c>
      <c r="E34" s="5" t="inlineStr">
        <is>
          <t>From Inputs, key db_base</t>
        </is>
      </c>
    </row>
    <row r="35">
      <c r="A35" s="5" t="inlineStr">
        <is>
          <t>Input: payfast_card_pct</t>
        </is>
      </c>
      <c r="B35" s="26">
        <f>INDEX(Inputs!$K$2:$K$121,MATCH("payfast_card_pct",Inputs!$A$2:$A$121,0))</f>
        <v/>
      </c>
      <c r="C35" s="26">
        <f>INDEX(Inputs!$L$2:$L$121,MATCH("payfast_card_pct",Inputs!$A$2:$A$121,0))</f>
        <v/>
      </c>
      <c r="D35" s="26">
        <f>INDEX(Inputs!$M$2:$M$121,MATCH("payfast_card_pct",Inputs!$A$2:$A$121,0))</f>
        <v/>
      </c>
      <c r="E35" s="5" t="inlineStr">
        <is>
          <t>From Inputs, key payfast_card_pct</t>
        </is>
      </c>
    </row>
    <row r="36">
      <c r="A36" s="5" t="inlineStr">
        <is>
          <t>Input: payfast_card_fixed</t>
        </is>
      </c>
      <c r="B36" s="8">
        <f>INDEX(Inputs!$K$2:$K$121,MATCH("payfast_card_fixed",Inputs!$A$2:$A$121,0))</f>
        <v/>
      </c>
      <c r="C36" s="8">
        <f>INDEX(Inputs!$L$2:$L$121,MATCH("payfast_card_fixed",Inputs!$A$2:$A$121,0))</f>
        <v/>
      </c>
      <c r="D36" s="8">
        <f>INDEX(Inputs!$M$2:$M$121,MATCH("payfast_card_fixed",Inputs!$A$2:$A$121,0))</f>
        <v/>
      </c>
      <c r="E36" s="5" t="inlineStr">
        <is>
          <t>From Inputs, key payfast_card_fixed</t>
        </is>
      </c>
    </row>
    <row r="37">
      <c r="A37" s="5" t="inlineStr">
        <is>
          <t>Input: lic_fee_per_mau</t>
        </is>
      </c>
      <c r="B37" s="8">
        <f>INDEX(Inputs!$K$2:$K$121,MATCH("lic_fee_per_mau",Inputs!$A$2:$A$121,0))</f>
        <v/>
      </c>
      <c r="C37" s="8">
        <f>INDEX(Inputs!$L$2:$L$121,MATCH("lic_fee_per_mau",Inputs!$A$2:$A$121,0))</f>
        <v/>
      </c>
      <c r="D37" s="8">
        <f>INDEX(Inputs!$M$2:$M$121,MATCH("lic_fee_per_mau",Inputs!$A$2:$A$121,0))</f>
        <v/>
      </c>
      <c r="E37" s="5" t="inlineStr">
        <is>
          <t>From Inputs, key lic_fee_per_mau</t>
        </is>
      </c>
    </row>
    <row r="38">
      <c r="A38" s="5" t="inlineStr">
        <is>
          <t>Input: lic_pilot_fee</t>
        </is>
      </c>
      <c r="B38" s="9">
        <f>INDEX(Inputs!$K$2:$K$121,MATCH("lic_pilot_fee",Inputs!$A$2:$A$121,0))</f>
        <v/>
      </c>
      <c r="C38" s="9">
        <f>INDEX(Inputs!$L$2:$L$121,MATCH("lic_pilot_fee",Inputs!$A$2:$A$121,0))</f>
        <v/>
      </c>
      <c r="D38" s="9">
        <f>INDEX(Inputs!$M$2:$M$121,MATCH("lic_pilot_fee",Inputs!$A$2:$A$121,0))</f>
        <v/>
      </c>
      <c r="E38" s="5" t="inlineStr">
        <is>
          <t>From Inputs, key lic_pilot_fee</t>
        </is>
      </c>
    </row>
    <row r="39">
      <c r="A39" s="5" t="inlineStr">
        <is>
          <t>Input: lic_platform_floor</t>
        </is>
      </c>
      <c r="B39" s="9">
        <f>INDEX(Inputs!$K$2:$K$121,MATCH("lic_platform_floor",Inputs!$A$2:$A$121,0))</f>
        <v/>
      </c>
      <c r="C39" s="9">
        <f>INDEX(Inputs!$L$2:$L$121,MATCH("lic_platform_floor",Inputs!$A$2:$A$121,0))</f>
        <v/>
      </c>
      <c r="D39" s="9">
        <f>INDEX(Inputs!$M$2:$M$121,MATCH("lic_platform_floor",Inputs!$A$2:$A$121,0))</f>
        <v/>
      </c>
      <c r="E39" s="5" t="inlineStr">
        <is>
          <t>From Inputs, key lic_platform_floor</t>
        </is>
      </c>
    </row>
    <row r="40">
      <c r="A40" s="5" t="inlineStr">
        <is>
          <t>Input: outcome_share</t>
        </is>
      </c>
      <c r="B40" s="26">
        <f>INDEX(Inputs!$K$2:$K$121,MATCH("outcome_share",Inputs!$A$2:$A$121,0))</f>
        <v/>
      </c>
      <c r="C40" s="26">
        <f>INDEX(Inputs!$L$2:$L$121,MATCH("outcome_share",Inputs!$A$2:$A$121,0))</f>
        <v/>
      </c>
      <c r="D40" s="26">
        <f>INDEX(Inputs!$M$2:$M$121,MATCH("outcome_share",Inputs!$A$2:$A$121,0))</f>
        <v/>
      </c>
      <c r="E40" s="5" t="inlineStr">
        <is>
          <t>From Inputs, key outcome_share</t>
        </is>
      </c>
    </row>
    <row r="41">
      <c r="A41" s="5" t="inlineStr">
        <is>
          <t>Input: sub_price</t>
        </is>
      </c>
      <c r="B41" s="8">
        <f>INDEX(Inputs!$K$2:$K$121,MATCH("sub_price",Inputs!$A$2:$A$121,0))</f>
        <v/>
      </c>
      <c r="C41" s="8">
        <f>INDEX(Inputs!$L$2:$L$121,MATCH("sub_price",Inputs!$A$2:$A$121,0))</f>
        <v/>
      </c>
      <c r="D41" s="8">
        <f>INDEX(Inputs!$M$2:$M$121,MATCH("sub_price",Inputs!$A$2:$A$121,0))</f>
        <v/>
      </c>
      <c r="E41" s="5" t="inlineStr">
        <is>
          <t>From Inputs, key sub_price</t>
        </is>
      </c>
    </row>
    <row r="42">
      <c r="A42" s="5" t="inlineStr">
        <is>
          <t>Input: free_to_paid</t>
        </is>
      </c>
      <c r="B42" s="26">
        <f>INDEX(Inputs!$K$2:$K$121,MATCH("free_to_paid",Inputs!$A$2:$A$121,0))</f>
        <v/>
      </c>
      <c r="C42" s="26">
        <f>INDEX(Inputs!$L$2:$L$121,MATCH("free_to_paid",Inputs!$A$2:$A$121,0))</f>
        <v/>
      </c>
      <c r="D42" s="26">
        <f>INDEX(Inputs!$M$2:$M$121,MATCH("free_to_paid",Inputs!$A$2:$A$121,0))</f>
        <v/>
      </c>
      <c r="E42" s="5" t="inlineStr">
        <is>
          <t>From Inputs, key free_to_paid</t>
        </is>
      </c>
    </row>
    <row r="43">
      <c r="A43" s="5" t="inlineStr">
        <is>
          <t>Input: sponsor_per_user_year</t>
        </is>
      </c>
      <c r="B43" s="8">
        <f>INDEX(Inputs!$K$2:$K$121,MATCH("sponsor_per_user_year",Inputs!$A$2:$A$121,0))</f>
        <v/>
      </c>
      <c r="C43" s="8">
        <f>INDEX(Inputs!$L$2:$L$121,MATCH("sponsor_per_user_year",Inputs!$A$2:$A$121,0))</f>
        <v/>
      </c>
      <c r="D43" s="8">
        <f>INDEX(Inputs!$M$2:$M$121,MATCH("sponsor_per_user_year",Inputs!$A$2:$A$121,0))</f>
        <v/>
      </c>
      <c r="E43" s="5" t="inlineStr">
        <is>
          <t>From Inputs, key sponsor_per_user_year</t>
        </is>
      </c>
    </row>
    <row r="44">
      <c r="A44" s="5" t="inlineStr">
        <is>
          <t>Input: share_users_unpaid</t>
        </is>
      </c>
      <c r="B44" s="26">
        <f>INDEX(Inputs!$K$2:$K$121,MATCH("share_users_unpaid",Inputs!$A$2:$A$121,0))</f>
        <v/>
      </c>
      <c r="C44" s="26">
        <f>INDEX(Inputs!$L$2:$L$121,MATCH("share_users_unpaid",Inputs!$A$2:$A$121,0))</f>
        <v/>
      </c>
      <c r="D44" s="26">
        <f>INDEX(Inputs!$M$2:$M$121,MATCH("share_users_unpaid",Inputs!$A$2:$A$121,0))</f>
        <v/>
      </c>
      <c r="E44" s="5" t="inlineStr">
        <is>
          <t>From Inputs, key share_users_unpaid</t>
        </is>
      </c>
    </row>
    <row r="45">
      <c r="A45" s="5" t="inlineStr">
        <is>
          <t>Input: unpaid_events_per_user</t>
        </is>
      </c>
      <c r="B45" s="27">
        <f>INDEX(Inputs!$K$2:$K$121,MATCH("unpaid_events_per_user",Inputs!$A$2:$A$121,0))</f>
        <v/>
      </c>
      <c r="C45" s="27">
        <f>INDEX(Inputs!$L$2:$L$121,MATCH("unpaid_events_per_user",Inputs!$A$2:$A$121,0))</f>
        <v/>
      </c>
      <c r="D45" s="27">
        <f>INDEX(Inputs!$M$2:$M$121,MATCH("unpaid_events_per_user",Inputs!$A$2:$A$121,0))</f>
        <v/>
      </c>
      <c r="E45" s="5" t="inlineStr">
        <is>
          <t>From Inputs, key unpaid_events_per_user</t>
        </is>
      </c>
    </row>
    <row r="46">
      <c r="A46" s="5" t="inlineStr">
        <is>
          <t>Input: unpaid_reduction</t>
        </is>
      </c>
      <c r="B46" s="26">
        <f>INDEX(Inputs!$K$2:$K$121,MATCH("unpaid_reduction",Inputs!$A$2:$A$121,0))</f>
        <v/>
      </c>
      <c r="C46" s="26">
        <f>INDEX(Inputs!$L$2:$L$121,MATCH("unpaid_reduction",Inputs!$A$2:$A$121,0))</f>
        <v/>
      </c>
      <c r="D46" s="26">
        <f>INDEX(Inputs!$M$2:$M$121,MATCH("unpaid_reduction",Inputs!$A$2:$A$121,0))</f>
        <v/>
      </c>
      <c r="E46" s="5" t="inlineStr">
        <is>
          <t>From Inputs, key unpaid_reduction</t>
        </is>
      </c>
    </row>
    <row r="47">
      <c r="A47" s="5" t="inlineStr">
        <is>
          <t>Input: bank_cost_per_unpaid</t>
        </is>
      </c>
      <c r="B47" s="8">
        <f>INDEX(Inputs!$K$2:$K$121,MATCH("bank_cost_per_unpaid",Inputs!$A$2:$A$121,0))</f>
        <v/>
      </c>
      <c r="C47" s="8">
        <f>INDEX(Inputs!$L$2:$L$121,MATCH("bank_cost_per_unpaid",Inputs!$A$2:$A$121,0))</f>
        <v/>
      </c>
      <c r="D47" s="8">
        <f>INDEX(Inputs!$M$2:$M$121,MATCH("bank_cost_per_unpaid",Inputs!$A$2:$A$121,0))</f>
        <v/>
      </c>
      <c r="E47" s="5" t="inlineStr">
        <is>
          <t>From Inputs, key bank_cost_per_unpaid</t>
        </is>
      </c>
    </row>
    <row r="48">
      <c r="A48" s="5" t="inlineStr">
        <is>
          <t>Input: sb_unpaid_payt</t>
        </is>
      </c>
      <c r="B48" s="8">
        <f>INDEX(Inputs!$K$2:$K$121,MATCH("sb_unpaid_payt",Inputs!$A$2:$A$121,0))</f>
        <v/>
      </c>
      <c r="C48" s="8">
        <f>INDEX(Inputs!$L$2:$L$121,MATCH("sb_unpaid_payt",Inputs!$A$2:$A$121,0))</f>
        <v/>
      </c>
      <c r="D48" s="8">
        <f>INDEX(Inputs!$M$2:$M$121,MATCH("sb_unpaid_payt",Inputs!$A$2:$A$121,0))</f>
        <v/>
      </c>
      <c r="E48" s="5" t="inlineStr">
        <is>
          <t>From Inputs, key sb_unpaid_payt</t>
        </is>
      </c>
    </row>
    <row r="49">
      <c r="A49" s="5" t="inlineStr">
        <is>
          <t>Input: deposit_uplift</t>
        </is>
      </c>
      <c r="B49" s="9">
        <f>INDEX(Inputs!$K$2:$K$121,MATCH("deposit_uplift",Inputs!$A$2:$A$121,0))</f>
        <v/>
      </c>
      <c r="C49" s="9">
        <f>INDEX(Inputs!$L$2:$L$121,MATCH("deposit_uplift",Inputs!$A$2:$A$121,0))</f>
        <v/>
      </c>
      <c r="D49" s="9">
        <f>INDEX(Inputs!$M$2:$M$121,MATCH("deposit_uplift",Inputs!$A$2:$A$121,0))</f>
        <v/>
      </c>
      <c r="E49" s="5" t="inlineStr">
        <is>
          <t>From Inputs, key deposit_uplift</t>
        </is>
      </c>
    </row>
    <row r="50">
      <c r="A50" s="5" t="inlineStr">
        <is>
          <t>Input: nim_on_deposits</t>
        </is>
      </c>
      <c r="B50" s="26">
        <f>INDEX(Inputs!$K$2:$K$121,MATCH("nim_on_deposits",Inputs!$A$2:$A$121,0))</f>
        <v/>
      </c>
      <c r="C50" s="26">
        <f>INDEX(Inputs!$L$2:$L$121,MATCH("nim_on_deposits",Inputs!$A$2:$A$121,0))</f>
        <v/>
      </c>
      <c r="D50" s="26">
        <f>INDEX(Inputs!$M$2:$M$121,MATCH("nim_on_deposits",Inputs!$A$2:$A$121,0))</f>
        <v/>
      </c>
      <c r="E50" s="5" t="inlineStr">
        <is>
          <t>From Inputs, key nim_on_deposits</t>
        </is>
      </c>
    </row>
    <row r="51">
      <c r="A51" s="5" t="inlineStr">
        <is>
          <t>Input: attrition_reduction</t>
        </is>
      </c>
      <c r="B51" s="26">
        <f>INDEX(Inputs!$K$2:$K$121,MATCH("attrition_reduction",Inputs!$A$2:$A$121,0))</f>
        <v/>
      </c>
      <c r="C51" s="26">
        <f>INDEX(Inputs!$L$2:$L$121,MATCH("attrition_reduction",Inputs!$A$2:$A$121,0))</f>
        <v/>
      </c>
      <c r="D51" s="26">
        <f>INDEX(Inputs!$M$2:$M$121,MATCH("attrition_reduction",Inputs!$A$2:$A$121,0))</f>
        <v/>
      </c>
      <c r="E51" s="5" t="inlineStr">
        <is>
          <t>From Inputs, key attrition_reduction</t>
        </is>
      </c>
    </row>
    <row r="52">
      <c r="A52" s="5" t="inlineStr">
        <is>
          <t>Input: value_per_customer_year</t>
        </is>
      </c>
      <c r="B52" s="9">
        <f>INDEX(Inputs!$K$2:$K$121,MATCH("value_per_customer_year",Inputs!$A$2:$A$121,0))</f>
        <v/>
      </c>
      <c r="C52" s="9">
        <f>INDEX(Inputs!$L$2:$L$121,MATCH("value_per_customer_year",Inputs!$A$2:$A$121,0))</f>
        <v/>
      </c>
      <c r="D52" s="9">
        <f>INDEX(Inputs!$M$2:$M$121,MATCH("value_per_customer_year",Inputs!$A$2:$A$121,0))</f>
        <v/>
      </c>
      <c r="E52" s="5" t="inlineStr">
        <is>
          <t>From Inputs, key value_per_customer_year</t>
        </is>
      </c>
    </row>
    <row r="53">
      <c r="A53" s="5" t="inlineStr">
        <is>
          <t>Input: contact_avoided</t>
        </is>
      </c>
      <c r="B53" s="27">
        <f>INDEX(Inputs!$K$2:$K$121,MATCH("contact_avoided",Inputs!$A$2:$A$121,0))</f>
        <v/>
      </c>
      <c r="C53" s="27">
        <f>INDEX(Inputs!$L$2:$L$121,MATCH("contact_avoided",Inputs!$A$2:$A$121,0))</f>
        <v/>
      </c>
      <c r="D53" s="27">
        <f>INDEX(Inputs!$M$2:$M$121,MATCH("contact_avoided",Inputs!$A$2:$A$121,0))</f>
        <v/>
      </c>
      <c r="E53" s="5" t="inlineStr">
        <is>
          <t>From Inputs, key contact_avoided</t>
        </is>
      </c>
    </row>
    <row r="54">
      <c r="A54" s="5" t="inlineStr">
        <is>
          <t>Input: cost_per_call</t>
        </is>
      </c>
      <c r="B54" s="8">
        <f>INDEX(Inputs!$K$2:$K$121,MATCH("cost_per_call",Inputs!$A$2:$A$121,0))</f>
        <v/>
      </c>
      <c r="C54" s="8">
        <f>INDEX(Inputs!$L$2:$L$121,MATCH("cost_per_call",Inputs!$A$2:$A$121,0))</f>
        <v/>
      </c>
      <c r="D54" s="8">
        <f>INDEX(Inputs!$M$2:$M$121,MATCH("cost_per_call",Inputs!$A$2:$A$121,0))</f>
        <v/>
      </c>
      <c r="E54" s="5" t="inlineStr">
        <is>
          <t>From Inputs, key cost_per_call</t>
        </is>
      </c>
    </row>
    <row r="55">
      <c r="A55" s="5" t="inlineStr">
        <is>
          <t>Input: share_behaviour_change</t>
        </is>
      </c>
      <c r="B55" s="26">
        <f>INDEX(Inputs!$K$2:$K$121,MATCH("share_behaviour_change",Inputs!$A$2:$A$121,0))</f>
        <v/>
      </c>
      <c r="C55" s="26">
        <f>INDEX(Inputs!$L$2:$L$121,MATCH("share_behaviour_change",Inputs!$A$2:$A$121,0))</f>
        <v/>
      </c>
      <c r="D55" s="26">
        <f>INDEX(Inputs!$M$2:$M$121,MATCH("share_behaviour_change",Inputs!$A$2:$A$121,0))</f>
        <v/>
      </c>
      <c r="E55" s="5" t="inlineStr">
        <is>
          <t>From Inputs, key share_behaviour_change</t>
        </is>
      </c>
    </row>
    <row r="56">
      <c r="A56" s="5" t="inlineStr">
        <is>
          <t>Input: days_cover_gained</t>
        </is>
      </c>
      <c r="B56" s="27">
        <f>INDEX(Inputs!$K$2:$K$121,MATCH("days_cover_gained",Inputs!$A$2:$A$121,0))</f>
        <v/>
      </c>
      <c r="C56" s="27">
        <f>INDEX(Inputs!$L$2:$L$121,MATCH("days_cover_gained",Inputs!$A$2:$A$121,0))</f>
        <v/>
      </c>
      <c r="D56" s="27">
        <f>INDEX(Inputs!$M$2:$M$121,MATCH("days_cover_gained",Inputs!$A$2:$A$121,0))</f>
        <v/>
      </c>
      <c r="E56" s="5" t="inlineStr">
        <is>
          <t>From Inputs, key days_cover_gained</t>
        </is>
      </c>
    </row>
    <row r="57">
      <c r="A57" s="5" t="inlineStr">
        <is>
          <t>Input: shortfalls_avoided</t>
        </is>
      </c>
      <c r="B57" s="27">
        <f>INDEX(Inputs!$K$2:$K$121,MATCH("shortfalls_avoided",Inputs!$A$2:$A$121,0))</f>
        <v/>
      </c>
      <c r="C57" s="27">
        <f>INDEX(Inputs!$L$2:$L$121,MATCH("shortfalls_avoided",Inputs!$A$2:$A$121,0))</f>
        <v/>
      </c>
      <c r="D57" s="27">
        <f>INDEX(Inputs!$M$2:$M$121,MATCH("shortfalls_avoided",Inputs!$A$2:$A$121,0))</f>
        <v/>
      </c>
      <c r="E57" s="5" t="inlineStr">
        <is>
          <t>From Inputs, key shortfalls_avoided</t>
        </is>
      </c>
    </row>
    <row r="58">
      <c r="A58" s="5" t="inlineStr">
        <is>
          <t>Input: fees_avoided</t>
        </is>
      </c>
      <c r="B58" s="9">
        <f>INDEX(Inputs!$K$2:$K$121,MATCH("fees_avoided",Inputs!$A$2:$A$121,0))</f>
        <v/>
      </c>
      <c r="C58" s="9">
        <f>INDEX(Inputs!$L$2:$L$121,MATCH("fees_avoided",Inputs!$A$2:$A$121,0))</f>
        <v/>
      </c>
      <c r="D58" s="9">
        <f>INDEX(Inputs!$M$2:$M$121,MATCH("fees_avoided",Inputs!$A$2:$A$121,0))</f>
        <v/>
      </c>
      <c r="E58" s="5" t="inlineStr">
        <is>
          <t>From Inputs, key fees_avoided</t>
        </is>
      </c>
    </row>
    <row r="59">
      <c r="A59" s="5" t="inlineStr">
        <is>
          <t>Input: confidence_change</t>
        </is>
      </c>
      <c r="B59" s="26">
        <f>INDEX(Inputs!$K$2:$K$121,MATCH("confidence_change",Inputs!$A$2:$A$121,0))</f>
        <v/>
      </c>
      <c r="C59" s="26">
        <f>INDEX(Inputs!$L$2:$L$121,MATCH("confidence_change",Inputs!$A$2:$A$121,0))</f>
        <v/>
      </c>
      <c r="D59" s="26">
        <f>INDEX(Inputs!$M$2:$M$121,MATCH("confidence_change",Inputs!$A$2:$A$121,0))</f>
        <v/>
      </c>
      <c r="E59" s="5" t="inlineStr">
        <is>
          <t>From Inputs, key confidence_change</t>
        </is>
      </c>
    </row>
    <row r="60">
      <c r="A60" s="5" t="inlineStr">
        <is>
          <t>Input: churn_embedded</t>
        </is>
      </c>
      <c r="B60" s="26">
        <f>INDEX(Inputs!$K$2:$K$121,MATCH("churn_embedded",Inputs!$A$2:$A$121,0))</f>
        <v/>
      </c>
      <c r="C60" s="26">
        <f>INDEX(Inputs!$L$2:$L$121,MATCH("churn_embedded",Inputs!$A$2:$A$121,0))</f>
        <v/>
      </c>
      <c r="D60" s="26">
        <f>INDEX(Inputs!$M$2:$M$121,MATCH("churn_embedded",Inputs!$A$2:$A$121,0))</f>
        <v/>
      </c>
      <c r="E60" s="5" t="inlineStr">
        <is>
          <t>From Inputs, key churn_embedded</t>
        </is>
      </c>
    </row>
    <row r="61">
      <c r="A61" s="5" t="inlineStr">
        <is>
          <t>Input: churn_consumer</t>
        </is>
      </c>
      <c r="B61" s="26">
        <f>INDEX(Inputs!$K$2:$K$121,MATCH("churn_consumer",Inputs!$A$2:$A$121,0))</f>
        <v/>
      </c>
      <c r="C61" s="26">
        <f>INDEX(Inputs!$L$2:$L$121,MATCH("churn_consumer",Inputs!$A$2:$A$121,0))</f>
        <v/>
      </c>
      <c r="D61" s="26">
        <f>INDEX(Inputs!$M$2:$M$121,MATCH("churn_consumer",Inputs!$A$2:$A$121,0))</f>
        <v/>
      </c>
      <c r="E61" s="5" t="inlineStr">
        <is>
          <t>From Inputs, key churn_consumer</t>
        </is>
      </c>
    </row>
    <row r="62">
      <c r="A62" s="5" t="inlineStr">
        <is>
          <t>Input: cac_embedded</t>
        </is>
      </c>
      <c r="B62" s="9">
        <f>INDEX(Inputs!$K$2:$K$121,MATCH("cac_embedded",Inputs!$A$2:$A$121,0))</f>
        <v/>
      </c>
      <c r="C62" s="9">
        <f>INDEX(Inputs!$L$2:$L$121,MATCH("cac_embedded",Inputs!$A$2:$A$121,0))</f>
        <v/>
      </c>
      <c r="D62" s="9">
        <f>INDEX(Inputs!$M$2:$M$121,MATCH("cac_embedded",Inputs!$A$2:$A$121,0))</f>
        <v/>
      </c>
      <c r="E62" s="5" t="inlineStr">
        <is>
          <t>From Inputs, key cac_embedded</t>
        </is>
      </c>
    </row>
    <row r="63">
      <c r="A63" s="5" t="inlineStr">
        <is>
          <t>Input: cac_consumer</t>
        </is>
      </c>
      <c r="B63" s="9">
        <f>INDEX(Inputs!$K$2:$K$121,MATCH("cac_consumer",Inputs!$A$2:$A$121,0))</f>
        <v/>
      </c>
      <c r="C63" s="9">
        <f>INDEX(Inputs!$L$2:$L$121,MATCH("cac_consumer",Inputs!$A$2:$A$121,0))</f>
        <v/>
      </c>
      <c r="D63" s="9">
        <f>INDEX(Inputs!$M$2:$M$121,MATCH("cac_consumer",Inputs!$A$2:$A$121,0))</f>
        <v/>
      </c>
      <c r="E63" s="5" t="inlineStr">
        <is>
          <t>From Inputs, key cac_consumer</t>
        </is>
      </c>
    </row>
    <row r="64">
      <c r="A64" s="5" t="inlineStr">
        <is>
          <t>Input: cac_sponsor</t>
        </is>
      </c>
      <c r="B64" s="9">
        <f>INDEX(Inputs!$K$2:$K$121,MATCH("cac_sponsor",Inputs!$A$2:$A$121,0))</f>
        <v/>
      </c>
      <c r="C64" s="9">
        <f>INDEX(Inputs!$L$2:$L$121,MATCH("cac_sponsor",Inputs!$A$2:$A$121,0))</f>
        <v/>
      </c>
      <c r="D64" s="9">
        <f>INDEX(Inputs!$M$2:$M$121,MATCH("cac_sponsor",Inputs!$A$2:$A$121,0))</f>
        <v/>
      </c>
      <c r="E64" s="5" t="inlineStr">
        <is>
          <t>From Inputs, key cac_sponsor</t>
        </is>
      </c>
    </row>
    <row r="65">
      <c r="A65" s="5" t="inlineStr">
        <is>
          <t>Input: pilot_months</t>
        </is>
      </c>
      <c r="B65" s="7">
        <f>INDEX(Inputs!$K$2:$K$121,MATCH("pilot_months",Inputs!$A$2:$A$121,0))</f>
        <v/>
      </c>
      <c r="C65" s="7">
        <f>INDEX(Inputs!$L$2:$L$121,MATCH("pilot_months",Inputs!$A$2:$A$121,0))</f>
        <v/>
      </c>
      <c r="D65" s="7">
        <f>INDEX(Inputs!$M$2:$M$121,MATCH("pilot_months",Inputs!$A$2:$A$121,0))</f>
        <v/>
      </c>
      <c r="E65" s="5" t="inlineStr">
        <is>
          <t>From Inputs, key pilot_months</t>
        </is>
      </c>
    </row>
    <row r="66">
      <c r="A66" s="5" t="inlineStr">
        <is>
          <t>Input: pilot_mau_share</t>
        </is>
      </c>
      <c r="B66" s="26">
        <f>INDEX(Inputs!$K$2:$K$121,MATCH("pilot_mau_share",Inputs!$A$2:$A$121,0))</f>
        <v/>
      </c>
      <c r="C66" s="26">
        <f>INDEX(Inputs!$L$2:$L$121,MATCH("pilot_mau_share",Inputs!$A$2:$A$121,0))</f>
        <v/>
      </c>
      <c r="D66" s="26">
        <f>INDEX(Inputs!$M$2:$M$121,MATCH("pilot_mau_share",Inputs!$A$2:$A$121,0))</f>
        <v/>
      </c>
      <c r="E66" s="5" t="inlineStr">
        <is>
          <t>From Inputs, key pilot_mau_share</t>
        </is>
      </c>
    </row>
    <row r="67">
      <c r="A67" s="5" t="inlineStr">
        <is>
          <t>Input: ramp_months</t>
        </is>
      </c>
      <c r="B67" s="7">
        <f>INDEX(Inputs!$K$2:$K$121,MATCH("ramp_months",Inputs!$A$2:$A$121,0))</f>
        <v/>
      </c>
      <c r="C67" s="7">
        <f>INDEX(Inputs!$L$2:$L$121,MATCH("ramp_months",Inputs!$A$2:$A$121,0))</f>
        <v/>
      </c>
      <c r="D67" s="7">
        <f>INDEX(Inputs!$M$2:$M$121,MATCH("ramp_months",Inputs!$A$2:$A$121,0))</f>
        <v/>
      </c>
      <c r="E67" s="5" t="inlineStr">
        <is>
          <t>From Inputs, key ramp_months</t>
        </is>
      </c>
    </row>
    <row r="68">
      <c r="A68" s="24" t="inlineStr">
        <is>
          <t>1. Market sizing and funnel (people)</t>
        </is>
      </c>
      <c r="B68" s="25" t="n"/>
      <c r="C68" s="25" t="n"/>
      <c r="D68" s="25" t="n"/>
      <c r="E68" s="25" t="n"/>
    </row>
    <row r="69">
      <c r="A69" s="5" t="inlineStr">
        <is>
          <t>Adults 15+ with an account</t>
        </is>
      </c>
      <c r="B69" s="29">
        <f>B5*B6</f>
        <v/>
      </c>
      <c r="C69" s="29">
        <f>C5*C6</f>
        <v/>
      </c>
      <c r="D69" s="29">
        <f>D5*D6</f>
        <v/>
      </c>
      <c r="E69" s="5" t="inlineStr">
        <is>
          <t>Context: population 15+ x account ownership (Findex 2025)</t>
        </is>
      </c>
    </row>
    <row r="70">
      <c r="A70" s="5" t="inlineStr">
        <is>
          <t>Informal plus private household workers (sourced floor)</t>
        </is>
      </c>
      <c r="B70" s="29">
        <f>B8+B9</f>
        <v/>
      </c>
      <c r="C70" s="29">
        <f>C8+C9</f>
        <v/>
      </c>
      <c r="D70" s="29">
        <f>D8+D9</f>
        <v/>
      </c>
      <c r="E70" s="5" t="inlineStr">
        <is>
          <t>Stats SA QLFS Q2 2026</t>
        </is>
      </c>
    </row>
    <row r="71">
      <c r="A71" s="5" t="inlineStr">
        <is>
          <t>Total market: adults with irregular or informal income</t>
        </is>
      </c>
      <c r="B71" s="29">
        <f>B10</f>
        <v/>
      </c>
      <c r="C71" s="29">
        <f>C10</f>
        <v/>
      </c>
      <c r="D71" s="29">
        <f>D10</f>
        <v/>
      </c>
      <c r="E71" s="5" t="inlineStr">
        <is>
          <t>Assumption built up from the sourced floor</t>
        </is>
      </c>
    </row>
    <row r="72">
      <c r="A72" s="5" t="inlineStr">
        <is>
          <t>Serviceable market: with an account and a smartphone</t>
        </is>
      </c>
      <c r="B72" s="29">
        <f>B71*B11</f>
        <v/>
      </c>
      <c r="C72" s="29">
        <f>C71*C11</f>
        <v/>
      </c>
      <c r="D72" s="29">
        <f>D71*D11</f>
        <v/>
      </c>
      <c r="E72" s="5" t="inlineStr">
        <is>
          <t>tam*sam_share_banked_smartphone</t>
        </is>
      </c>
    </row>
    <row r="73">
      <c r="A73" s="5" t="inlineStr">
        <is>
          <t>Partner bank digital customers with irregular income</t>
        </is>
      </c>
      <c r="B73" s="29">
        <f>B12*B13</f>
        <v/>
      </c>
      <c r="C73" s="29">
        <f>C12*C13</f>
        <v/>
      </c>
      <c r="D73" s="29">
        <f>D12*D13</f>
        <v/>
      </c>
      <c r="E73" s="5" t="inlineStr">
        <is>
          <t>partner_base*share_partner_irregular</t>
        </is>
      </c>
    </row>
    <row r="74">
      <c r="A74" s="5" t="inlineStr">
        <is>
          <t>Shown the feature by the bank</t>
        </is>
      </c>
      <c r="B74" s="29">
        <f>B73*B14</f>
        <v/>
      </c>
      <c r="C74" s="29">
        <f>C73*C14</f>
        <v/>
      </c>
      <c r="D74" s="29">
        <f>D73*D14</f>
        <v/>
      </c>
      <c r="E74" s="5" t="inlineStr">
        <is>
          <t>partner_irregular*share_eligible_offered</t>
        </is>
      </c>
    </row>
    <row r="75">
      <c r="A75" s="5" t="inlineStr">
        <is>
          <t>Activated</t>
        </is>
      </c>
      <c r="B75" s="29">
        <f>B74*B15</f>
        <v/>
      </c>
      <c r="C75" s="29">
        <f>C74*C15</f>
        <v/>
      </c>
      <c r="D75" s="29">
        <f>D74*D15</f>
        <v/>
      </c>
      <c r="E75" s="5" t="inlineStr">
        <is>
          <t>offered*offered_to_activated</t>
        </is>
      </c>
    </row>
    <row r="76">
      <c r="A76" s="5" t="inlineStr">
        <is>
          <t>Steady-state monthly active users (one partner bank)</t>
        </is>
      </c>
      <c r="B76" s="29">
        <f>B75*B16</f>
        <v/>
      </c>
      <c r="C76" s="29">
        <f>C75*C16</f>
        <v/>
      </c>
      <c r="D76" s="29">
        <f>D75*D16</f>
        <v/>
      </c>
      <c r="E76" s="5" t="inlineStr">
        <is>
          <t>activated*activated_to_mau</t>
        </is>
      </c>
    </row>
    <row r="77">
      <c r="A77" s="5" t="inlineStr">
        <is>
          <t>Share of the serviceable market reached</t>
        </is>
      </c>
      <c r="B77" s="30">
        <f>IFERROR(B76/B72,0)</f>
        <v/>
      </c>
      <c r="C77" s="30">
        <f>IFERROR(C76/C72,0)</f>
        <v/>
      </c>
      <c r="D77" s="30">
        <f>IFERROR(D76/D72,0)</f>
        <v/>
      </c>
      <c r="E77" s="5" t="inlineStr">
        <is>
          <t>IFERROR(mau/sam,0)</t>
        </is>
      </c>
    </row>
    <row r="78">
      <c r="A78" s="24" t="inlineStr">
        <is>
          <t>2. Unit costs per active user per month (ZAR)</t>
        </is>
      </c>
      <c r="B78" s="25" t="n"/>
      <c r="C78" s="25" t="n"/>
      <c r="D78" s="25" t="n"/>
      <c r="E78" s="25" t="n"/>
    </row>
    <row r="79">
      <c r="A79" s="5" t="inlineStr">
        <is>
          <t>LLM cost per generated message</t>
        </is>
      </c>
      <c r="B79" s="31">
        <f>(B24*B22+B25*B23)/1000000*B18</f>
        <v/>
      </c>
      <c r="C79" s="31">
        <f>(C24*C22+C25*C23)/1000000*C18</f>
        <v/>
      </c>
      <c r="D79" s="31">
        <f>(D24*D22+D25*D23)/1000000*D18</f>
        <v/>
      </c>
      <c r="E79" s="5" t="inlineStr">
        <is>
          <t>(tokens_in_msg*llm_in_price+tokens_out_msg*llm_out_price)/1000000*usd_zar</t>
        </is>
      </c>
    </row>
    <row r="80">
      <c r="A80" s="5" t="inlineStr">
        <is>
          <t>LLM cost per MAU</t>
        </is>
      </c>
      <c r="B80" s="31">
        <f>B79*B26</f>
        <v/>
      </c>
      <c r="C80" s="31">
        <f>C79*C26</f>
        <v/>
      </c>
      <c r="D80" s="31">
        <f>D79*D26</f>
        <v/>
      </c>
      <c r="E80" s="5" t="inlineStr">
        <is>
          <t>llm_per_msg*msgs_per_month</t>
        </is>
      </c>
    </row>
    <row r="81">
      <c r="A81" s="5" t="inlineStr">
        <is>
          <t>In-app push messages per MAU (embedded channel)</t>
        </is>
      </c>
      <c r="B81" s="31">
        <f>B30*B26</f>
        <v/>
      </c>
      <c r="C81" s="31">
        <f>C30*C26</f>
        <v/>
      </c>
      <c r="D81" s="31">
        <f>D30*D26</f>
        <v/>
      </c>
      <c r="E81" s="5" t="inlineStr">
        <is>
          <t>push_cost*msgs_per_month</t>
        </is>
      </c>
    </row>
    <row r="82">
      <c r="A82" s="5" t="inlineStr">
        <is>
          <t>WhatsApp messages per MAU (standalone channel)</t>
        </is>
      </c>
      <c r="B82" s="31">
        <f>(B27*B18+B28)*B26</f>
        <v/>
      </c>
      <c r="C82" s="31">
        <f>(C27*C18+C28)*C26</f>
        <v/>
      </c>
      <c r="D82" s="31">
        <f>(D27*D18+D28)*D26</f>
        <v/>
      </c>
      <c r="E82" s="5" t="inlineStr">
        <is>
          <t>(wa_utility*usd_zar+wa_bsp_fee)*msgs_per_month</t>
        </is>
      </c>
    </row>
    <row r="83">
      <c r="A83" s="5" t="inlineStr">
        <is>
          <t>SMS messages per MAU (sponsor channel, feature phones)</t>
        </is>
      </c>
      <c r="B83" s="31">
        <f>B29*B26</f>
        <v/>
      </c>
      <c r="C83" s="31">
        <f>C29*C26</f>
        <v/>
      </c>
      <c r="D83" s="31">
        <f>D29*D26</f>
        <v/>
      </c>
      <c r="E83" s="5" t="inlineStr">
        <is>
          <t>sms_price*msgs_per_month</t>
        </is>
      </c>
    </row>
    <row r="84">
      <c r="A84" s="5" t="inlineStr">
        <is>
          <t>Variable cost per MAU, embedded in a bank app</t>
        </is>
      </c>
      <c r="B84" s="31">
        <f>B20+B21+B80+B81+B31</f>
        <v/>
      </c>
      <c r="C84" s="31">
        <f>C20+C21+C80+C81+C31</f>
        <v/>
      </c>
      <c r="D84" s="31">
        <f>D20+D21+D80+D81+D31</f>
        <v/>
      </c>
      <c r="E84" s="5" t="inlineStr">
        <is>
          <t>hosting_per_mau+forecast_compute+llm_per_mau+push_per_mau+support_per_mau</t>
        </is>
      </c>
    </row>
    <row r="85">
      <c r="A85" s="5" t="inlineStr">
        <is>
          <t>Variable cost per MAU, standalone consumer app</t>
        </is>
      </c>
      <c r="B85" s="31">
        <f>B20+B21+B80+B82+B31</f>
        <v/>
      </c>
      <c r="C85" s="31">
        <f>C20+C21+C80+C82+C31</f>
        <v/>
      </c>
      <c r="D85" s="31">
        <f>D20+D21+D80+D82+D31</f>
        <v/>
      </c>
      <c r="E85" s="5" t="inlineStr">
        <is>
          <t>hosting_per_mau+forecast_compute+llm_per_mau+wa_per_mau+support_per_mau</t>
        </is>
      </c>
    </row>
    <row r="86">
      <c r="A86" s="5" t="inlineStr">
        <is>
          <t>Variable cost per MAU, sponsored programme</t>
        </is>
      </c>
      <c r="B86" s="31">
        <f>B20+B21+B80+B83+B31</f>
        <v/>
      </c>
      <c r="C86" s="31">
        <f>C20+C21+C80+C83+C31</f>
        <v/>
      </c>
      <c r="D86" s="31">
        <f>D20+D21+D80+D83+D31</f>
        <v/>
      </c>
      <c r="E86" s="5" t="inlineStr">
        <is>
          <t>hosting_per_mau+forecast_compute+llm_per_mau+sms_per_mau+support_per_mau</t>
        </is>
      </c>
    </row>
    <row r="87">
      <c r="A87" s="5" t="inlineStr">
        <is>
          <t>Fixed cost per month (team, compliance, database base fee)</t>
        </is>
      </c>
      <c r="B87" s="32">
        <f>B33+B32+B34*B18</f>
        <v/>
      </c>
      <c r="C87" s="32">
        <f>C33+C32+C34*C18</f>
        <v/>
      </c>
      <c r="D87" s="32">
        <f>D33+D32+D34*D18</f>
        <v/>
      </c>
      <c r="E87" s="5" t="inlineStr">
        <is>
          <t>team_fixed+compliance_fixed+db_base*usd_zar</t>
        </is>
      </c>
    </row>
    <row r="88">
      <c r="A88" s="24" t="inlineStr">
        <is>
          <t>3. Value to a bank per active user per year (ZAR, all assumptions)</t>
        </is>
      </c>
      <c r="B88" s="25" t="n"/>
      <c r="C88" s="25" t="n"/>
      <c r="D88" s="25" t="n"/>
      <c r="E88" s="25" t="n"/>
    </row>
    <row r="89">
      <c r="A89" s="5" t="inlineStr">
        <is>
          <t>Unpaid debit orders avoided per MAU per year</t>
        </is>
      </c>
      <c r="B89" s="33">
        <f>B44*B45*B46</f>
        <v/>
      </c>
      <c r="C89" s="33">
        <f>C44*C45*C46</f>
        <v/>
      </c>
      <c r="D89" s="33">
        <f>D44*D45*D46</f>
        <v/>
      </c>
      <c r="E89" s="5" t="inlineStr">
        <is>
          <t>share_users_unpaid*unpaid_events_per_user*unpaid_reduction</t>
        </is>
      </c>
    </row>
    <row r="90">
      <c r="A90" s="5" t="inlineStr">
        <is>
          <t>Operational cost saved on unpaid items</t>
        </is>
      </c>
      <c r="B90" s="31">
        <f>B89*B47</f>
        <v/>
      </c>
      <c r="C90" s="31">
        <f>C89*C47</f>
        <v/>
      </c>
      <c r="D90" s="31">
        <f>D89*D47</f>
        <v/>
      </c>
      <c r="E90" s="5" t="inlineStr">
        <is>
          <t>unpaid_avoided*bank_cost_per_unpaid</t>
        </is>
      </c>
    </row>
    <row r="91">
      <c r="A91" s="5" t="inlineStr">
        <is>
          <t>Fee income the bank no longer earns (negative)</t>
        </is>
      </c>
      <c r="B91" s="31">
        <f>-B89*B48</f>
        <v/>
      </c>
      <c r="C91" s="31">
        <f>-C89*C48</f>
        <v/>
      </c>
      <c r="D91" s="31">
        <f>-D89*D48</f>
        <v/>
      </c>
      <c r="E91" s="5" t="inlineStr">
        <is>
          <t>Standard Bank pay-as-you-transact unpaid fee used as the proxy</t>
        </is>
      </c>
    </row>
    <row r="92">
      <c r="A92" s="5" t="inlineStr">
        <is>
          <t>Margin on higher balances held</t>
        </is>
      </c>
      <c r="B92" s="31">
        <f>B49*B50</f>
        <v/>
      </c>
      <c r="C92" s="31">
        <f>C49*C50</f>
        <v/>
      </c>
      <c r="D92" s="31">
        <f>D49*D50</f>
        <v/>
      </c>
      <c r="E92" s="5" t="inlineStr">
        <is>
          <t>deposit_uplift*nim_on_deposits</t>
        </is>
      </c>
    </row>
    <row r="93">
      <c r="A93" s="5" t="inlineStr">
        <is>
          <t>Value of lower attrition</t>
        </is>
      </c>
      <c r="B93" s="31">
        <f>B51*B52</f>
        <v/>
      </c>
      <c r="C93" s="31">
        <f>C51*C52</f>
        <v/>
      </c>
      <c r="D93" s="31">
        <f>D51*D52</f>
        <v/>
      </c>
      <c r="E93" s="5" t="inlineStr">
        <is>
          <t>attrition_reduction*value_per_customer_year</t>
        </is>
      </c>
    </row>
    <row r="94">
      <c r="A94" s="5" t="inlineStr">
        <is>
          <t>Contact centre calls avoided</t>
        </is>
      </c>
      <c r="B94" s="31">
        <f>B53*B54</f>
        <v/>
      </c>
      <c r="C94" s="31">
        <f>C53*C54</f>
        <v/>
      </c>
      <c r="D94" s="31">
        <f>D53*D54</f>
        <v/>
      </c>
      <c r="E94" s="5" t="inlineStr">
        <is>
          <t>contact_avoided*cost_per_call</t>
        </is>
      </c>
    </row>
    <row r="95">
      <c r="A95" s="5" t="inlineStr">
        <is>
          <t>Net value to the bank per MAU per year</t>
        </is>
      </c>
      <c r="B95" s="31">
        <f>B90+B91+B92+B93+B94</f>
        <v/>
      </c>
      <c r="C95" s="31">
        <f>C90+C91+C92+C93+C94</f>
        <v/>
      </c>
      <c r="D95" s="31">
        <f>D90+D91+D92+D93+D94</f>
        <v/>
      </c>
      <c r="E95" s="5" t="inlineStr">
        <is>
          <t>bv_ops+bv_fees_lost+bv_deposits+bv_retention+bv_contact</t>
        </is>
      </c>
    </row>
    <row r="96">
      <c r="A96" s="5" t="inlineStr">
        <is>
          <t>Net value to the bank per year at steady-state MAU</t>
        </is>
      </c>
      <c r="B96" s="32">
        <f>B95*B76</f>
        <v/>
      </c>
      <c r="C96" s="32">
        <f>C95*C76</f>
        <v/>
      </c>
      <c r="D96" s="32">
        <f>D95*D76</f>
        <v/>
      </c>
      <c r="E96" s="5" t="inlineStr">
        <is>
          <t>bank_value_year*mau</t>
        </is>
      </c>
    </row>
    <row r="97">
      <c r="A97" s="5" t="inlineStr">
        <is>
          <t>Licence the bank pays per MAU per year (model a)</t>
        </is>
      </c>
      <c r="B97" s="31">
        <f>B37*12</f>
        <v/>
      </c>
      <c r="C97" s="31">
        <f>C37*12</f>
        <v/>
      </c>
      <c r="D97" s="31">
        <f>D37*12</f>
        <v/>
      </c>
      <c r="E97" s="5" t="inlineStr">
        <is>
          <t>lic_fee_per_mau*12</t>
        </is>
      </c>
    </row>
    <row r="98">
      <c r="A98" s="5" t="inlineStr">
        <is>
          <t>Bank value per rand of licence fee</t>
        </is>
      </c>
      <c r="B98" s="34">
        <f>IFERROR(B95/B97,0)</f>
        <v/>
      </c>
      <c r="C98" s="34">
        <f>IFERROR(C95/C97,0)</f>
        <v/>
      </c>
      <c r="D98" s="34">
        <f>IFERROR(D95/D97,0)</f>
        <v/>
      </c>
      <c r="E98" s="5" t="inlineStr">
        <is>
          <t>IFERROR(bank_value_year/bank_cost_year,0)</t>
        </is>
      </c>
    </row>
    <row r="99">
      <c r="A99" s="24" t="inlineStr">
        <is>
          <t>4. Revenue per active user per month, by business model (ZAR)</t>
        </is>
      </c>
      <c r="B99" s="25" t="n"/>
      <c r="C99" s="25" t="n"/>
      <c r="D99" s="25" t="n"/>
      <c r="E99" s="25" t="n"/>
    </row>
    <row r="100">
      <c r="A100" s="5" t="inlineStr">
        <is>
          <t>(a) Bank licence per MAU</t>
        </is>
      </c>
      <c r="B100" s="31">
        <f>B37</f>
        <v/>
      </c>
      <c r="C100" s="31">
        <f>C37</f>
        <v/>
      </c>
      <c r="D100" s="31">
        <f>D37</f>
        <v/>
      </c>
      <c r="E100" s="5" t="inlineStr">
        <is>
          <t>lic_fee_per_mau</t>
        </is>
      </c>
    </row>
    <row r="101">
      <c r="A101" s="5" t="inlineStr">
        <is>
          <t>(b) Revenue share on measured bank benefit</t>
        </is>
      </c>
      <c r="B101" s="31">
        <f>B40*B95/12</f>
        <v/>
      </c>
      <c r="C101" s="31">
        <f>C40*C95/12</f>
        <v/>
      </c>
      <c r="D101" s="31">
        <f>D40*D95/12</f>
        <v/>
      </c>
      <c r="E101" s="5" t="inlineStr">
        <is>
          <t>outcome_share*bank_value_year/12</t>
        </is>
      </c>
    </row>
    <row r="102">
      <c r="A102" s="5" t="inlineStr">
        <is>
          <t>(c) Freemium consumer subscription, per MAU</t>
        </is>
      </c>
      <c r="B102" s="31">
        <f>B42*(B41/(1+B19)-(B41*B35+B36))</f>
        <v/>
      </c>
      <c r="C102" s="31">
        <f>C42*(C41/(1+C19)-(C41*C35+C36))</f>
        <v/>
      </c>
      <c r="D102" s="31">
        <f>D42*(D41/(1+D19)-(D41*D35+D36))</f>
        <v/>
      </c>
      <c r="E102" s="5" t="inlineStr">
        <is>
          <t>Paying share x (price excl. VAT minus PayFast fees)</t>
        </is>
      </c>
    </row>
    <row r="103">
      <c r="A103" s="5" t="inlineStr">
        <is>
          <t>(d) Sponsored or partner-funded, per user</t>
        </is>
      </c>
      <c r="B103" s="31">
        <f>B43/12</f>
        <v/>
      </c>
      <c r="C103" s="31">
        <f>C43/12</f>
        <v/>
      </c>
      <c r="D103" s="31">
        <f>D43/12</f>
        <v/>
      </c>
      <c r="E103" s="5" t="inlineStr">
        <is>
          <t>sponsor_per_user_year/12</t>
        </is>
      </c>
    </row>
    <row r="104">
      <c r="A104" s="24" t="inlineStr">
        <is>
          <t>5. Unit economics per model</t>
        </is>
      </c>
      <c r="B104" s="25" t="n"/>
      <c r="C104" s="25" t="n"/>
      <c r="D104" s="25" t="n"/>
      <c r="E104" s="25" t="n"/>
    </row>
    <row r="105">
      <c r="A105" s="5" t="inlineStr">
        <is>
          <t>(a) Contribution per MAU per month</t>
        </is>
      </c>
      <c r="B105" s="31">
        <f>B100-B84</f>
        <v/>
      </c>
      <c r="C105" s="31">
        <f>C100-C84</f>
        <v/>
      </c>
      <c r="D105" s="31">
        <f>D100-D84</f>
        <v/>
      </c>
      <c r="E105" s="5" t="inlineStr">
        <is>
          <t>rev_a-var_embedded</t>
        </is>
      </c>
    </row>
    <row r="106">
      <c r="A106" s="5" t="inlineStr">
        <is>
          <t>(a) Contribution margin</t>
        </is>
      </c>
      <c r="B106" s="30">
        <f>IFERROR(B105/B100,0)</f>
        <v/>
      </c>
      <c r="C106" s="30">
        <f>IFERROR(C105/C100,0)</f>
        <v/>
      </c>
      <c r="D106" s="30">
        <f>IFERROR(D105/D100,0)</f>
        <v/>
      </c>
      <c r="E106" s="5" t="inlineStr">
        <is>
          <t>IFERROR(cm_a/rev_a,0)</t>
        </is>
      </c>
    </row>
    <row r="107">
      <c r="A107" s="5" t="inlineStr">
        <is>
          <t>(a) Expected lifetime, months (1 / monthly churn)</t>
        </is>
      </c>
      <c r="B107" s="33">
        <f>IFERROR(1/B60,0)</f>
        <v/>
      </c>
      <c r="C107" s="33">
        <f>IFERROR(1/C60,0)</f>
        <v/>
      </c>
      <c r="D107" s="33">
        <f>IFERROR(1/D60,0)</f>
        <v/>
      </c>
      <c r="E107" s="5" t="inlineStr">
        <is>
          <t>IFERROR(1/churn_embedded,0)</t>
        </is>
      </c>
    </row>
    <row r="108">
      <c r="A108" s="5" t="inlineStr">
        <is>
          <t>(a) Lifetime value per MAU</t>
        </is>
      </c>
      <c r="B108" s="31">
        <f>B105*B107</f>
        <v/>
      </c>
      <c r="C108" s="31">
        <f>C105*C107</f>
        <v/>
      </c>
      <c r="D108" s="31">
        <f>D105*D107</f>
        <v/>
      </c>
      <c r="E108" s="5" t="inlineStr">
        <is>
          <t>cm_a*life_a</t>
        </is>
      </c>
    </row>
    <row r="109">
      <c r="A109" s="5" t="inlineStr">
        <is>
          <t>(a) Acquisition cost per MAU</t>
        </is>
      </c>
      <c r="B109" s="31">
        <f>B62</f>
        <v/>
      </c>
      <c r="C109" s="31">
        <f>C62</f>
        <v/>
      </c>
      <c r="D109" s="31">
        <f>D62</f>
        <v/>
      </c>
      <c r="E109" s="5" t="inlineStr">
        <is>
          <t>cac_embedded</t>
        </is>
      </c>
    </row>
    <row r="110">
      <c r="A110" s="5" t="inlineStr">
        <is>
          <t>(a) LTV to CAC</t>
        </is>
      </c>
      <c r="B110" s="34">
        <f>IFERROR(B108/B109,0)</f>
        <v/>
      </c>
      <c r="C110" s="34">
        <f>IFERROR(C108/C109,0)</f>
        <v/>
      </c>
      <c r="D110" s="34">
        <f>IFERROR(D108/D109,0)</f>
        <v/>
      </c>
      <c r="E110" s="5" t="inlineStr">
        <is>
          <t>IFERROR(ltv_a/cac_a,0)</t>
        </is>
      </c>
    </row>
    <row r="111">
      <c r="A111" s="5" t="inlineStr">
        <is>
          <t>(a) Payback, months (blank means never)</t>
        </is>
      </c>
      <c r="B111" s="33">
        <f>IF(B105&gt;0,B109/B105,"")</f>
        <v/>
      </c>
      <c r="C111" s="33">
        <f>IF(C105&gt;0,C109/C105,"")</f>
        <v/>
      </c>
      <c r="D111" s="33">
        <f>IF(D105&gt;0,D109/D105,"")</f>
        <v/>
      </c>
      <c r="E111" s="5" t="inlineStr">
        <is>
          <t>IF(cm_a&gt;0,cac_a/cm_a,"")</t>
        </is>
      </c>
    </row>
    <row r="112">
      <c r="A112" s="5" t="inlineStr">
        <is>
          <t>(a) MAU needed to cover fixed costs (blank means never)</t>
        </is>
      </c>
      <c r="B112" s="29">
        <f>IF(B105&gt;0,B87/B105,"")</f>
        <v/>
      </c>
      <c r="C112" s="29">
        <f>IF(C105&gt;0,C87/C105,"")</f>
        <v/>
      </c>
      <c r="D112" s="29">
        <f>IF(D105&gt;0,D87/D105,"")</f>
        <v/>
      </c>
      <c r="E112" s="5" t="inlineStr">
        <is>
          <t>IF(cm_a&gt;0,fixed_month/cm_a,"")</t>
        </is>
      </c>
    </row>
    <row r="113">
      <c r="A113" s="5" t="inlineStr">
        <is>
          <t>(b) Contribution per MAU per month</t>
        </is>
      </c>
      <c r="B113" s="31">
        <f>B101-B84</f>
        <v/>
      </c>
      <c r="C113" s="31">
        <f>C101-C84</f>
        <v/>
      </c>
      <c r="D113" s="31">
        <f>D101-D84</f>
        <v/>
      </c>
      <c r="E113" s="5" t="inlineStr">
        <is>
          <t>rev_b-var_embedded</t>
        </is>
      </c>
    </row>
    <row r="114">
      <c r="A114" s="5" t="inlineStr">
        <is>
          <t>(b) Contribution margin</t>
        </is>
      </c>
      <c r="B114" s="30">
        <f>IFERROR(B113/B101,0)</f>
        <v/>
      </c>
      <c r="C114" s="30">
        <f>IFERROR(C113/C101,0)</f>
        <v/>
      </c>
      <c r="D114" s="30">
        <f>IFERROR(D113/D101,0)</f>
        <v/>
      </c>
      <c r="E114" s="5" t="inlineStr">
        <is>
          <t>IFERROR(cm_b/rev_b,0)</t>
        </is>
      </c>
    </row>
    <row r="115">
      <c r="A115" s="5" t="inlineStr">
        <is>
          <t>(b) Expected lifetime, months (1 / monthly churn)</t>
        </is>
      </c>
      <c r="B115" s="33">
        <f>IFERROR(1/B60,0)</f>
        <v/>
      </c>
      <c r="C115" s="33">
        <f>IFERROR(1/C60,0)</f>
        <v/>
      </c>
      <c r="D115" s="33">
        <f>IFERROR(1/D60,0)</f>
        <v/>
      </c>
      <c r="E115" s="5" t="inlineStr">
        <is>
          <t>IFERROR(1/churn_embedded,0)</t>
        </is>
      </c>
    </row>
    <row r="116">
      <c r="A116" s="5" t="inlineStr">
        <is>
          <t>(b) Lifetime value per MAU</t>
        </is>
      </c>
      <c r="B116" s="31">
        <f>B113*B115</f>
        <v/>
      </c>
      <c r="C116" s="31">
        <f>C113*C115</f>
        <v/>
      </c>
      <c r="D116" s="31">
        <f>D113*D115</f>
        <v/>
      </c>
      <c r="E116" s="5" t="inlineStr">
        <is>
          <t>cm_b*life_b</t>
        </is>
      </c>
    </row>
    <row r="117">
      <c r="A117" s="5" t="inlineStr">
        <is>
          <t>(b) Acquisition cost per MAU</t>
        </is>
      </c>
      <c r="B117" s="31">
        <f>B62</f>
        <v/>
      </c>
      <c r="C117" s="31">
        <f>C62</f>
        <v/>
      </c>
      <c r="D117" s="31">
        <f>D62</f>
        <v/>
      </c>
      <c r="E117" s="5" t="inlineStr">
        <is>
          <t>cac_embedded</t>
        </is>
      </c>
    </row>
    <row r="118">
      <c r="A118" s="5" t="inlineStr">
        <is>
          <t>(b) LTV to CAC</t>
        </is>
      </c>
      <c r="B118" s="34">
        <f>IFERROR(B116/B117,0)</f>
        <v/>
      </c>
      <c r="C118" s="34">
        <f>IFERROR(C116/C117,0)</f>
        <v/>
      </c>
      <c r="D118" s="34">
        <f>IFERROR(D116/D117,0)</f>
        <v/>
      </c>
      <c r="E118" s="5" t="inlineStr">
        <is>
          <t>IFERROR(ltv_b/cac_b,0)</t>
        </is>
      </c>
    </row>
    <row r="119">
      <c r="A119" s="5" t="inlineStr">
        <is>
          <t>(b) Payback, months (blank means never)</t>
        </is>
      </c>
      <c r="B119" s="33">
        <f>IF(B113&gt;0,B117/B113,"")</f>
        <v/>
      </c>
      <c r="C119" s="33">
        <f>IF(C113&gt;0,C117/C113,"")</f>
        <v/>
      </c>
      <c r="D119" s="33">
        <f>IF(D113&gt;0,D117/D113,"")</f>
        <v/>
      </c>
      <c r="E119" s="5" t="inlineStr">
        <is>
          <t>IF(cm_b&gt;0,cac_b/cm_b,"")</t>
        </is>
      </c>
    </row>
    <row r="120">
      <c r="A120" s="5" t="inlineStr">
        <is>
          <t>(b) MAU needed to cover fixed costs (blank means never)</t>
        </is>
      </c>
      <c r="B120" s="29">
        <f>IF(B113&gt;0,B87/B113,"")</f>
        <v/>
      </c>
      <c r="C120" s="29">
        <f>IF(C113&gt;0,C87/C113,"")</f>
        <v/>
      </c>
      <c r="D120" s="29">
        <f>IF(D113&gt;0,D87/D113,"")</f>
        <v/>
      </c>
      <c r="E120" s="5" t="inlineStr">
        <is>
          <t>IF(cm_b&gt;0,fixed_month/cm_b,"")</t>
        </is>
      </c>
    </row>
    <row r="121">
      <c r="A121" s="5" t="inlineStr">
        <is>
          <t>(c) Contribution per MAU per month</t>
        </is>
      </c>
      <c r="B121" s="31">
        <f>B102-B85</f>
        <v/>
      </c>
      <c r="C121" s="31">
        <f>C102-C85</f>
        <v/>
      </c>
      <c r="D121" s="31">
        <f>D102-D85</f>
        <v/>
      </c>
      <c r="E121" s="5" t="inlineStr">
        <is>
          <t>rev_c-var_consumer</t>
        </is>
      </c>
    </row>
    <row r="122">
      <c r="A122" s="5" t="inlineStr">
        <is>
          <t>(c) Contribution margin</t>
        </is>
      </c>
      <c r="B122" s="30">
        <f>IFERROR(B121/B102,0)</f>
        <v/>
      </c>
      <c r="C122" s="30">
        <f>IFERROR(C121/C102,0)</f>
        <v/>
      </c>
      <c r="D122" s="30">
        <f>IFERROR(D121/D102,0)</f>
        <v/>
      </c>
      <c r="E122" s="5" t="inlineStr">
        <is>
          <t>IFERROR(cm_c/rev_c,0)</t>
        </is>
      </c>
    </row>
    <row r="123">
      <c r="A123" s="5" t="inlineStr">
        <is>
          <t>(c) Expected lifetime, months (1 / monthly churn)</t>
        </is>
      </c>
      <c r="B123" s="33">
        <f>IFERROR(1/B61,0)</f>
        <v/>
      </c>
      <c r="C123" s="33">
        <f>IFERROR(1/C61,0)</f>
        <v/>
      </c>
      <c r="D123" s="33">
        <f>IFERROR(1/D61,0)</f>
        <v/>
      </c>
      <c r="E123" s="5" t="inlineStr">
        <is>
          <t>IFERROR(1/churn_consumer,0)</t>
        </is>
      </c>
    </row>
    <row r="124">
      <c r="A124" s="5" t="inlineStr">
        <is>
          <t>(c) Lifetime value per MAU</t>
        </is>
      </c>
      <c r="B124" s="31">
        <f>B121*B123</f>
        <v/>
      </c>
      <c r="C124" s="31">
        <f>C121*C123</f>
        <v/>
      </c>
      <c r="D124" s="31">
        <f>D121*D123</f>
        <v/>
      </c>
      <c r="E124" s="5" t="inlineStr">
        <is>
          <t>cm_c*life_c</t>
        </is>
      </c>
    </row>
    <row r="125">
      <c r="A125" s="5" t="inlineStr">
        <is>
          <t>(c) Acquisition cost per MAU</t>
        </is>
      </c>
      <c r="B125" s="31">
        <f>B63</f>
        <v/>
      </c>
      <c r="C125" s="31">
        <f>C63</f>
        <v/>
      </c>
      <c r="D125" s="31">
        <f>D63</f>
        <v/>
      </c>
      <c r="E125" s="5" t="inlineStr">
        <is>
          <t>cac_consumer</t>
        </is>
      </c>
    </row>
    <row r="126">
      <c r="A126" s="5" t="inlineStr">
        <is>
          <t>(c) LTV to CAC</t>
        </is>
      </c>
      <c r="B126" s="34">
        <f>IFERROR(B124/B125,0)</f>
        <v/>
      </c>
      <c r="C126" s="34">
        <f>IFERROR(C124/C125,0)</f>
        <v/>
      </c>
      <c r="D126" s="34">
        <f>IFERROR(D124/D125,0)</f>
        <v/>
      </c>
      <c r="E126" s="5" t="inlineStr">
        <is>
          <t>IFERROR(ltv_c/cac_c,0)</t>
        </is>
      </c>
    </row>
    <row r="127">
      <c r="A127" s="5" t="inlineStr">
        <is>
          <t>(c) Payback, months (blank means never)</t>
        </is>
      </c>
      <c r="B127" s="33">
        <f>IF(B121&gt;0,B125/B121,"")</f>
        <v/>
      </c>
      <c r="C127" s="33">
        <f>IF(C121&gt;0,C125/C121,"")</f>
        <v/>
      </c>
      <c r="D127" s="33">
        <f>IF(D121&gt;0,D125/D121,"")</f>
        <v/>
      </c>
      <c r="E127" s="5" t="inlineStr">
        <is>
          <t>IF(cm_c&gt;0,cac_c/cm_c,"")</t>
        </is>
      </c>
    </row>
    <row r="128">
      <c r="A128" s="5" t="inlineStr">
        <is>
          <t>(c) MAU needed to cover fixed costs (blank means never)</t>
        </is>
      </c>
      <c r="B128" s="29">
        <f>IF(B121&gt;0,B87/B121,"")</f>
        <v/>
      </c>
      <c r="C128" s="29">
        <f>IF(C121&gt;0,C87/C121,"")</f>
        <v/>
      </c>
      <c r="D128" s="29">
        <f>IF(D121&gt;0,D87/D121,"")</f>
        <v/>
      </c>
      <c r="E128" s="5" t="inlineStr">
        <is>
          <t>IF(cm_c&gt;0,fixed_month/cm_c,"")</t>
        </is>
      </c>
    </row>
    <row r="129">
      <c r="A129" s="5" t="inlineStr">
        <is>
          <t>(d) Contribution per MAU per month</t>
        </is>
      </c>
      <c r="B129" s="31">
        <f>B103-B86</f>
        <v/>
      </c>
      <c r="C129" s="31">
        <f>C103-C86</f>
        <v/>
      </c>
      <c r="D129" s="31">
        <f>D103-D86</f>
        <v/>
      </c>
      <c r="E129" s="5" t="inlineStr">
        <is>
          <t>rev_d-var_sponsor</t>
        </is>
      </c>
    </row>
    <row r="130">
      <c r="A130" s="5" t="inlineStr">
        <is>
          <t>(d) Contribution margin</t>
        </is>
      </c>
      <c r="B130" s="30">
        <f>IFERROR(B129/B103,0)</f>
        <v/>
      </c>
      <c r="C130" s="30">
        <f>IFERROR(C129/C103,0)</f>
        <v/>
      </c>
      <c r="D130" s="30">
        <f>IFERROR(D129/D103,0)</f>
        <v/>
      </c>
      <c r="E130" s="5" t="inlineStr">
        <is>
          <t>IFERROR(cm_d/rev_d,0)</t>
        </is>
      </c>
    </row>
    <row r="131">
      <c r="A131" s="5" t="inlineStr">
        <is>
          <t>(d) Expected lifetime, months (1 / monthly churn)</t>
        </is>
      </c>
      <c r="B131" s="33">
        <f>IFERROR(1/B61,0)</f>
        <v/>
      </c>
      <c r="C131" s="33">
        <f>IFERROR(1/C61,0)</f>
        <v/>
      </c>
      <c r="D131" s="33">
        <f>IFERROR(1/D61,0)</f>
        <v/>
      </c>
      <c r="E131" s="5" t="inlineStr">
        <is>
          <t>IFERROR(1/churn_consumer,0)</t>
        </is>
      </c>
    </row>
    <row r="132">
      <c r="A132" s="5" t="inlineStr">
        <is>
          <t>(d) Lifetime value per MAU</t>
        </is>
      </c>
      <c r="B132" s="31">
        <f>B129*B131</f>
        <v/>
      </c>
      <c r="C132" s="31">
        <f>C129*C131</f>
        <v/>
      </c>
      <c r="D132" s="31">
        <f>D129*D131</f>
        <v/>
      </c>
      <c r="E132" s="5" t="inlineStr">
        <is>
          <t>cm_d*life_d</t>
        </is>
      </c>
    </row>
    <row r="133">
      <c r="A133" s="5" t="inlineStr">
        <is>
          <t>(d) Acquisition cost per MAU</t>
        </is>
      </c>
      <c r="B133" s="31">
        <f>B64</f>
        <v/>
      </c>
      <c r="C133" s="31">
        <f>C64</f>
        <v/>
      </c>
      <c r="D133" s="31">
        <f>D64</f>
        <v/>
      </c>
      <c r="E133" s="5" t="inlineStr">
        <is>
          <t>cac_sponsor</t>
        </is>
      </c>
    </row>
    <row r="134">
      <c r="A134" s="5" t="inlineStr">
        <is>
          <t>(d) LTV to CAC</t>
        </is>
      </c>
      <c r="B134" s="34">
        <f>IFERROR(B132/B133,0)</f>
        <v/>
      </c>
      <c r="C134" s="34">
        <f>IFERROR(C132/C133,0)</f>
        <v/>
      </c>
      <c r="D134" s="34">
        <f>IFERROR(D132/D133,0)</f>
        <v/>
      </c>
      <c r="E134" s="5" t="inlineStr">
        <is>
          <t>IFERROR(ltv_d/cac_d,0)</t>
        </is>
      </c>
    </row>
    <row r="135">
      <c r="A135" s="5" t="inlineStr">
        <is>
          <t>(d) Payback, months (blank means never)</t>
        </is>
      </c>
      <c r="B135" s="33">
        <f>IF(B129&gt;0,B133/B129,"")</f>
        <v/>
      </c>
      <c r="C135" s="33">
        <f>IF(C129&gt;0,C133/C129,"")</f>
        <v/>
      </c>
      <c r="D135" s="33">
        <f>IF(D129&gt;0,D133/D129,"")</f>
        <v/>
      </c>
      <c r="E135" s="5" t="inlineStr">
        <is>
          <t>IF(cm_d&gt;0,cac_d/cm_d,"")</t>
        </is>
      </c>
    </row>
    <row r="136">
      <c r="A136" s="5" t="inlineStr">
        <is>
          <t>(d) MAU needed to cover fixed costs (blank means never)</t>
        </is>
      </c>
      <c r="B136" s="29">
        <f>IF(B129&gt;0,B87/B129,"")</f>
        <v/>
      </c>
      <c r="C136" s="29">
        <f>IF(C129&gt;0,C87/C129,"")</f>
        <v/>
      </c>
      <c r="D136" s="29">
        <f>IF(D129&gt;0,D87/D129,"")</f>
        <v/>
      </c>
      <c r="E136" s="5" t="inlineStr">
        <is>
          <t>IF(cm_d&gt;0,fixed_month/cm_d,"")</t>
        </is>
      </c>
    </row>
    <row r="137">
      <c r="A137" s="24" t="inlineStr">
        <is>
          <t>6. Impact at steady state (outputs and outcomes)</t>
        </is>
      </c>
      <c r="B137" s="25" t="n"/>
      <c r="C137" s="25" t="n"/>
      <c r="D137" s="25" t="n"/>
      <c r="E137" s="25" t="n"/>
    </row>
    <row r="138">
      <c r="A138" s="5" t="inlineStr">
        <is>
          <t>Output: people reached per year (MAU plus sponsor reach)</t>
        </is>
      </c>
      <c r="B138" s="29">
        <f>B76+B17</f>
        <v/>
      </c>
      <c r="C138" s="29">
        <f>C76+C17</f>
        <v/>
      </c>
      <c r="D138" s="29">
        <f>D76+D17</f>
        <v/>
      </c>
      <c r="E138" s="5" t="inlineStr">
        <is>
          <t>mau+sponsor_reach</t>
        </is>
      </c>
    </row>
    <row r="139">
      <c r="A139" s="5" t="inlineStr">
        <is>
          <t>Outcome: users who change a decision in a month</t>
        </is>
      </c>
      <c r="B139" s="29">
        <f>B76*B55</f>
        <v/>
      </c>
      <c r="C139" s="29">
        <f>C76*C55</f>
        <v/>
      </c>
      <c r="D139" s="29">
        <f>D76*D55</f>
        <v/>
      </c>
      <c r="E139" s="5" t="inlineStr">
        <is>
          <t>mau*share_behaviour_change</t>
        </is>
      </c>
    </row>
    <row r="140">
      <c r="A140" s="5" t="inlineStr">
        <is>
          <t>Outcome: days of cover gained per year (all users)</t>
        </is>
      </c>
      <c r="B140" s="29">
        <f>B139*B56*12</f>
        <v/>
      </c>
      <c r="C140" s="29">
        <f>C139*C56*12</f>
        <v/>
      </c>
      <c r="D140" s="29">
        <f>D139*D56*12</f>
        <v/>
      </c>
      <c r="E140" s="5" t="inlineStr">
        <is>
          <t>changers*days_cover_gained*12</t>
        </is>
      </c>
    </row>
    <row r="141">
      <c r="A141" s="5" t="inlineStr">
        <is>
          <t>Outcome: Short episodes avoided per year</t>
        </is>
      </c>
      <c r="B141" s="29">
        <f>B76*B57</f>
        <v/>
      </c>
      <c r="C141" s="29">
        <f>C76*C57</f>
        <v/>
      </c>
      <c r="D141" s="29">
        <f>D76*D57</f>
        <v/>
      </c>
      <c r="E141" s="5" t="inlineStr">
        <is>
          <t>mau*shortfalls_avoided</t>
        </is>
      </c>
    </row>
    <row r="142">
      <c r="A142" s="5" t="inlineStr">
        <is>
          <t>Outcome: fees avoided by users per year (ZAR)</t>
        </is>
      </c>
      <c r="B142" s="32">
        <f>B76*B58</f>
        <v/>
      </c>
      <c r="C142" s="32">
        <f>C76*C58</f>
        <v/>
      </c>
      <c r="D142" s="32">
        <f>D76*D58</f>
        <v/>
      </c>
      <c r="E142" s="5" t="inlineStr">
        <is>
          <t>mau*fees_avoided</t>
        </is>
      </c>
    </row>
    <row r="143">
      <c r="A143" s="5" t="inlineStr">
        <is>
          <t>Outcome: change in share confident money lasts (points)</t>
        </is>
      </c>
      <c r="B143" s="30">
        <f>B59</f>
        <v/>
      </c>
      <c r="C143" s="30">
        <f>C59</f>
        <v/>
      </c>
      <c r="D143" s="30">
        <f>D59</f>
        <v/>
      </c>
      <c r="E143" s="5" t="inlineStr">
        <is>
          <t>confidence_change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4" t="inlineStr">
        <is>
          <t>Projection: 24 months, model (a) bank licence, one partner bank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" t="inlineStr">
        <is>
          <t>Pilot fee spread over the pilot months, then the larger of licence revenue and the platform floor. Costs are fixed plus embedded variable cost per MAU.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24" t="inlineStr">
        <is>
          <t>Conservative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>
      <c r="A5" s="5" t="inlineStr">
        <is>
          <t>Month</t>
        </is>
      </c>
      <c r="B5" s="35" t="n">
        <v>1</v>
      </c>
      <c r="C5" s="35" t="n">
        <v>2</v>
      </c>
      <c r="D5" s="35" t="n">
        <v>3</v>
      </c>
      <c r="E5" s="35" t="n">
        <v>4</v>
      </c>
      <c r="F5" s="35" t="n">
        <v>5</v>
      </c>
      <c r="G5" s="35" t="n">
        <v>6</v>
      </c>
      <c r="H5" s="35" t="n">
        <v>7</v>
      </c>
      <c r="I5" s="35" t="n">
        <v>8</v>
      </c>
      <c r="J5" s="35" t="n">
        <v>9</v>
      </c>
      <c r="K5" s="35" t="n">
        <v>10</v>
      </c>
      <c r="L5" s="35" t="n">
        <v>11</v>
      </c>
      <c r="M5" s="35" t="n">
        <v>12</v>
      </c>
      <c r="N5" s="35" t="n">
        <v>13</v>
      </c>
      <c r="O5" s="35" t="n">
        <v>14</v>
      </c>
      <c r="P5" s="35" t="n">
        <v>15</v>
      </c>
      <c r="Q5" s="35" t="n">
        <v>16</v>
      </c>
      <c r="R5" s="35" t="n">
        <v>17</v>
      </c>
      <c r="S5" s="35" t="n">
        <v>18</v>
      </c>
      <c r="T5" s="35" t="n">
        <v>19</v>
      </c>
      <c r="U5" s="35" t="n">
        <v>20</v>
      </c>
      <c r="V5" s="35" t="n">
        <v>21</v>
      </c>
      <c r="W5" s="35" t="n">
        <v>22</v>
      </c>
      <c r="X5" s="35" t="n">
        <v>23</v>
      </c>
      <c r="Y5" s="35" t="n">
        <v>24</v>
      </c>
      <c r="Z5" s="5" t="n"/>
    </row>
    <row r="6">
      <c r="A6" s="5" t="inlineStr">
        <is>
          <t>MAU</t>
        </is>
      </c>
      <c r="B6" s="29">
        <f>IF(B$5&lt;=Model!$B$65,Model!$B$76*Model!$B$66*B$5/Model!$B$65,MIN(Model!$B$76,Model!$B$76*Model!$B$66+(Model!$B$76-Model!$B$76*Model!$B$66)*(B$5-Model!$B$65)/Model!$B$67))</f>
        <v/>
      </c>
      <c r="C6" s="29">
        <f>IF(C$5&lt;=Model!$B$65,Model!$B$76*Model!$B$66*C$5/Model!$B$65,MIN(Model!$B$76,Model!$B$76*Model!$B$66+(Model!$B$76-Model!$B$76*Model!$B$66)*(C$5-Model!$B$65)/Model!$B$67))</f>
        <v/>
      </c>
      <c r="D6" s="29">
        <f>IF(D$5&lt;=Model!$B$65,Model!$B$76*Model!$B$66*D$5/Model!$B$65,MIN(Model!$B$76,Model!$B$76*Model!$B$66+(Model!$B$76-Model!$B$76*Model!$B$66)*(D$5-Model!$B$65)/Model!$B$67))</f>
        <v/>
      </c>
      <c r="E6" s="29">
        <f>IF(E$5&lt;=Model!$B$65,Model!$B$76*Model!$B$66*E$5/Model!$B$65,MIN(Model!$B$76,Model!$B$76*Model!$B$66+(Model!$B$76-Model!$B$76*Model!$B$66)*(E$5-Model!$B$65)/Model!$B$67))</f>
        <v/>
      </c>
      <c r="F6" s="29">
        <f>IF(F$5&lt;=Model!$B$65,Model!$B$76*Model!$B$66*F$5/Model!$B$65,MIN(Model!$B$76,Model!$B$76*Model!$B$66+(Model!$B$76-Model!$B$76*Model!$B$66)*(F$5-Model!$B$65)/Model!$B$67))</f>
        <v/>
      </c>
      <c r="G6" s="29">
        <f>IF(G$5&lt;=Model!$B$65,Model!$B$76*Model!$B$66*G$5/Model!$B$65,MIN(Model!$B$76,Model!$B$76*Model!$B$66+(Model!$B$76-Model!$B$76*Model!$B$66)*(G$5-Model!$B$65)/Model!$B$67))</f>
        <v/>
      </c>
      <c r="H6" s="29">
        <f>IF(H$5&lt;=Model!$B$65,Model!$B$76*Model!$B$66*H$5/Model!$B$65,MIN(Model!$B$76,Model!$B$76*Model!$B$66+(Model!$B$76-Model!$B$76*Model!$B$66)*(H$5-Model!$B$65)/Model!$B$67))</f>
        <v/>
      </c>
      <c r="I6" s="29">
        <f>IF(I$5&lt;=Model!$B$65,Model!$B$76*Model!$B$66*I$5/Model!$B$65,MIN(Model!$B$76,Model!$B$76*Model!$B$66+(Model!$B$76-Model!$B$76*Model!$B$66)*(I$5-Model!$B$65)/Model!$B$67))</f>
        <v/>
      </c>
      <c r="J6" s="29">
        <f>IF(J$5&lt;=Model!$B$65,Model!$B$76*Model!$B$66*J$5/Model!$B$65,MIN(Model!$B$76,Model!$B$76*Model!$B$66+(Model!$B$76-Model!$B$76*Model!$B$66)*(J$5-Model!$B$65)/Model!$B$67))</f>
        <v/>
      </c>
      <c r="K6" s="29">
        <f>IF(K$5&lt;=Model!$B$65,Model!$B$76*Model!$B$66*K$5/Model!$B$65,MIN(Model!$B$76,Model!$B$76*Model!$B$66+(Model!$B$76-Model!$B$76*Model!$B$66)*(K$5-Model!$B$65)/Model!$B$67))</f>
        <v/>
      </c>
      <c r="L6" s="29">
        <f>IF(L$5&lt;=Model!$B$65,Model!$B$76*Model!$B$66*L$5/Model!$B$65,MIN(Model!$B$76,Model!$B$76*Model!$B$66+(Model!$B$76-Model!$B$76*Model!$B$66)*(L$5-Model!$B$65)/Model!$B$67))</f>
        <v/>
      </c>
      <c r="M6" s="29">
        <f>IF(M$5&lt;=Model!$B$65,Model!$B$76*Model!$B$66*M$5/Model!$B$65,MIN(Model!$B$76,Model!$B$76*Model!$B$66+(Model!$B$76-Model!$B$76*Model!$B$66)*(M$5-Model!$B$65)/Model!$B$67))</f>
        <v/>
      </c>
      <c r="N6" s="29">
        <f>IF(N$5&lt;=Model!$B$65,Model!$B$76*Model!$B$66*N$5/Model!$B$65,MIN(Model!$B$76,Model!$B$76*Model!$B$66+(Model!$B$76-Model!$B$76*Model!$B$66)*(N$5-Model!$B$65)/Model!$B$67))</f>
        <v/>
      </c>
      <c r="O6" s="29">
        <f>IF(O$5&lt;=Model!$B$65,Model!$B$76*Model!$B$66*O$5/Model!$B$65,MIN(Model!$B$76,Model!$B$76*Model!$B$66+(Model!$B$76-Model!$B$76*Model!$B$66)*(O$5-Model!$B$65)/Model!$B$67))</f>
        <v/>
      </c>
      <c r="P6" s="29">
        <f>IF(P$5&lt;=Model!$B$65,Model!$B$76*Model!$B$66*P$5/Model!$B$65,MIN(Model!$B$76,Model!$B$76*Model!$B$66+(Model!$B$76-Model!$B$76*Model!$B$66)*(P$5-Model!$B$65)/Model!$B$67))</f>
        <v/>
      </c>
      <c r="Q6" s="29">
        <f>IF(Q$5&lt;=Model!$B$65,Model!$B$76*Model!$B$66*Q$5/Model!$B$65,MIN(Model!$B$76,Model!$B$76*Model!$B$66+(Model!$B$76-Model!$B$76*Model!$B$66)*(Q$5-Model!$B$65)/Model!$B$67))</f>
        <v/>
      </c>
      <c r="R6" s="29">
        <f>IF(R$5&lt;=Model!$B$65,Model!$B$76*Model!$B$66*R$5/Model!$B$65,MIN(Model!$B$76,Model!$B$76*Model!$B$66+(Model!$B$76-Model!$B$76*Model!$B$66)*(R$5-Model!$B$65)/Model!$B$67))</f>
        <v/>
      </c>
      <c r="S6" s="29">
        <f>IF(S$5&lt;=Model!$B$65,Model!$B$76*Model!$B$66*S$5/Model!$B$65,MIN(Model!$B$76,Model!$B$76*Model!$B$66+(Model!$B$76-Model!$B$76*Model!$B$66)*(S$5-Model!$B$65)/Model!$B$67))</f>
        <v/>
      </c>
      <c r="T6" s="29">
        <f>IF(T$5&lt;=Model!$B$65,Model!$B$76*Model!$B$66*T$5/Model!$B$65,MIN(Model!$B$76,Model!$B$76*Model!$B$66+(Model!$B$76-Model!$B$76*Model!$B$66)*(T$5-Model!$B$65)/Model!$B$67))</f>
        <v/>
      </c>
      <c r="U6" s="29">
        <f>IF(U$5&lt;=Model!$B$65,Model!$B$76*Model!$B$66*U$5/Model!$B$65,MIN(Model!$B$76,Model!$B$76*Model!$B$66+(Model!$B$76-Model!$B$76*Model!$B$66)*(U$5-Model!$B$65)/Model!$B$67))</f>
        <v/>
      </c>
      <c r="V6" s="29">
        <f>IF(V$5&lt;=Model!$B$65,Model!$B$76*Model!$B$66*V$5/Model!$B$65,MIN(Model!$B$76,Model!$B$76*Model!$B$66+(Model!$B$76-Model!$B$76*Model!$B$66)*(V$5-Model!$B$65)/Model!$B$67))</f>
        <v/>
      </c>
      <c r="W6" s="29">
        <f>IF(W$5&lt;=Model!$B$65,Model!$B$76*Model!$B$66*W$5/Model!$B$65,MIN(Model!$B$76,Model!$B$76*Model!$B$66+(Model!$B$76-Model!$B$76*Model!$B$66)*(W$5-Model!$B$65)/Model!$B$67))</f>
        <v/>
      </c>
      <c r="X6" s="29">
        <f>IF(X$5&lt;=Model!$B$65,Model!$B$76*Model!$B$66*X$5/Model!$B$65,MIN(Model!$B$76,Model!$B$76*Model!$B$66+(Model!$B$76-Model!$B$76*Model!$B$66)*(X$5-Model!$B$65)/Model!$B$67))</f>
        <v/>
      </c>
      <c r="Y6" s="29">
        <f>IF(Y$5&lt;=Model!$B$65,Model!$B$76*Model!$B$66*Y$5/Model!$B$65,MIN(Model!$B$76,Model!$B$76*Model!$B$66+(Model!$B$76-Model!$B$76*Model!$B$66)*(Y$5-Model!$B$65)/Model!$B$67))</f>
        <v/>
      </c>
      <c r="Z6" s="5" t="n"/>
    </row>
    <row r="7">
      <c r="A7" s="5" t="inlineStr">
        <is>
          <t>Revenue</t>
        </is>
      </c>
      <c r="B7" s="32">
        <f>IF(B$5&lt;=Model!$B$65,Model!$B$38/Model!$B$65,MAX(Model!$B$37*B6,Model!$B$39/12))</f>
        <v/>
      </c>
      <c r="C7" s="32">
        <f>IF(C$5&lt;=Model!$B$65,Model!$B$38/Model!$B$65,MAX(Model!$B$37*C6,Model!$B$39/12))</f>
        <v/>
      </c>
      <c r="D7" s="32">
        <f>IF(D$5&lt;=Model!$B$65,Model!$B$38/Model!$B$65,MAX(Model!$B$37*D6,Model!$B$39/12))</f>
        <v/>
      </c>
      <c r="E7" s="32">
        <f>IF(E$5&lt;=Model!$B$65,Model!$B$38/Model!$B$65,MAX(Model!$B$37*E6,Model!$B$39/12))</f>
        <v/>
      </c>
      <c r="F7" s="32">
        <f>IF(F$5&lt;=Model!$B$65,Model!$B$38/Model!$B$65,MAX(Model!$B$37*F6,Model!$B$39/12))</f>
        <v/>
      </c>
      <c r="G7" s="32">
        <f>IF(G$5&lt;=Model!$B$65,Model!$B$38/Model!$B$65,MAX(Model!$B$37*G6,Model!$B$39/12))</f>
        <v/>
      </c>
      <c r="H7" s="32">
        <f>IF(H$5&lt;=Model!$B$65,Model!$B$38/Model!$B$65,MAX(Model!$B$37*H6,Model!$B$39/12))</f>
        <v/>
      </c>
      <c r="I7" s="32">
        <f>IF(I$5&lt;=Model!$B$65,Model!$B$38/Model!$B$65,MAX(Model!$B$37*I6,Model!$B$39/12))</f>
        <v/>
      </c>
      <c r="J7" s="32">
        <f>IF(J$5&lt;=Model!$B$65,Model!$B$38/Model!$B$65,MAX(Model!$B$37*J6,Model!$B$39/12))</f>
        <v/>
      </c>
      <c r="K7" s="32">
        <f>IF(K$5&lt;=Model!$B$65,Model!$B$38/Model!$B$65,MAX(Model!$B$37*K6,Model!$B$39/12))</f>
        <v/>
      </c>
      <c r="L7" s="32">
        <f>IF(L$5&lt;=Model!$B$65,Model!$B$38/Model!$B$65,MAX(Model!$B$37*L6,Model!$B$39/12))</f>
        <v/>
      </c>
      <c r="M7" s="32">
        <f>IF(M$5&lt;=Model!$B$65,Model!$B$38/Model!$B$65,MAX(Model!$B$37*M6,Model!$B$39/12))</f>
        <v/>
      </c>
      <c r="N7" s="32">
        <f>IF(N$5&lt;=Model!$B$65,Model!$B$38/Model!$B$65,MAX(Model!$B$37*N6,Model!$B$39/12))</f>
        <v/>
      </c>
      <c r="O7" s="32">
        <f>IF(O$5&lt;=Model!$B$65,Model!$B$38/Model!$B$65,MAX(Model!$B$37*O6,Model!$B$39/12))</f>
        <v/>
      </c>
      <c r="P7" s="32">
        <f>IF(P$5&lt;=Model!$B$65,Model!$B$38/Model!$B$65,MAX(Model!$B$37*P6,Model!$B$39/12))</f>
        <v/>
      </c>
      <c r="Q7" s="32">
        <f>IF(Q$5&lt;=Model!$B$65,Model!$B$38/Model!$B$65,MAX(Model!$B$37*Q6,Model!$B$39/12))</f>
        <v/>
      </c>
      <c r="R7" s="32">
        <f>IF(R$5&lt;=Model!$B$65,Model!$B$38/Model!$B$65,MAX(Model!$B$37*R6,Model!$B$39/12))</f>
        <v/>
      </c>
      <c r="S7" s="32">
        <f>IF(S$5&lt;=Model!$B$65,Model!$B$38/Model!$B$65,MAX(Model!$B$37*S6,Model!$B$39/12))</f>
        <v/>
      </c>
      <c r="T7" s="32">
        <f>IF(T$5&lt;=Model!$B$65,Model!$B$38/Model!$B$65,MAX(Model!$B$37*T6,Model!$B$39/12))</f>
        <v/>
      </c>
      <c r="U7" s="32">
        <f>IF(U$5&lt;=Model!$B$65,Model!$B$38/Model!$B$65,MAX(Model!$B$37*U6,Model!$B$39/12))</f>
        <v/>
      </c>
      <c r="V7" s="32">
        <f>IF(V$5&lt;=Model!$B$65,Model!$B$38/Model!$B$65,MAX(Model!$B$37*V6,Model!$B$39/12))</f>
        <v/>
      </c>
      <c r="W7" s="32">
        <f>IF(W$5&lt;=Model!$B$65,Model!$B$38/Model!$B$65,MAX(Model!$B$37*W6,Model!$B$39/12))</f>
        <v/>
      </c>
      <c r="X7" s="32">
        <f>IF(X$5&lt;=Model!$B$65,Model!$B$38/Model!$B$65,MAX(Model!$B$37*X6,Model!$B$39/12))</f>
        <v/>
      </c>
      <c r="Y7" s="32">
        <f>IF(Y$5&lt;=Model!$B$65,Model!$B$38/Model!$B$65,MAX(Model!$B$37*Y6,Model!$B$39/12))</f>
        <v/>
      </c>
      <c r="Z7" s="5" t="n"/>
    </row>
    <row r="8">
      <c r="A8" s="5" t="inlineStr">
        <is>
          <t>Fixed cost</t>
        </is>
      </c>
      <c r="B8" s="9">
        <f>Model!$B$87</f>
        <v/>
      </c>
      <c r="C8" s="9">
        <f>Model!$B$87</f>
        <v/>
      </c>
      <c r="D8" s="9">
        <f>Model!$B$87</f>
        <v/>
      </c>
      <c r="E8" s="9">
        <f>Model!$B$87</f>
        <v/>
      </c>
      <c r="F8" s="9">
        <f>Model!$B$87</f>
        <v/>
      </c>
      <c r="G8" s="9">
        <f>Model!$B$87</f>
        <v/>
      </c>
      <c r="H8" s="9">
        <f>Model!$B$87</f>
        <v/>
      </c>
      <c r="I8" s="9">
        <f>Model!$B$87</f>
        <v/>
      </c>
      <c r="J8" s="9">
        <f>Model!$B$87</f>
        <v/>
      </c>
      <c r="K8" s="9">
        <f>Model!$B$87</f>
        <v/>
      </c>
      <c r="L8" s="9">
        <f>Model!$B$87</f>
        <v/>
      </c>
      <c r="M8" s="9">
        <f>Model!$B$87</f>
        <v/>
      </c>
      <c r="N8" s="9">
        <f>Model!$B$87</f>
        <v/>
      </c>
      <c r="O8" s="9">
        <f>Model!$B$87</f>
        <v/>
      </c>
      <c r="P8" s="9">
        <f>Model!$B$87</f>
        <v/>
      </c>
      <c r="Q8" s="9">
        <f>Model!$B$87</f>
        <v/>
      </c>
      <c r="R8" s="9">
        <f>Model!$B$87</f>
        <v/>
      </c>
      <c r="S8" s="9">
        <f>Model!$B$87</f>
        <v/>
      </c>
      <c r="T8" s="9">
        <f>Model!$B$87</f>
        <v/>
      </c>
      <c r="U8" s="9">
        <f>Model!$B$87</f>
        <v/>
      </c>
      <c r="V8" s="9">
        <f>Model!$B$87</f>
        <v/>
      </c>
      <c r="W8" s="9">
        <f>Model!$B$87</f>
        <v/>
      </c>
      <c r="X8" s="9">
        <f>Model!$B$87</f>
        <v/>
      </c>
      <c r="Y8" s="9">
        <f>Model!$B$87</f>
        <v/>
      </c>
      <c r="Z8" s="5" t="n"/>
    </row>
    <row r="9">
      <c r="A9" s="5" t="inlineStr">
        <is>
          <t>Variable cost</t>
        </is>
      </c>
      <c r="B9" s="32">
        <f>Model!$B$84*B6</f>
        <v/>
      </c>
      <c r="C9" s="32">
        <f>Model!$B$84*C6</f>
        <v/>
      </c>
      <c r="D9" s="32">
        <f>Model!$B$84*D6</f>
        <v/>
      </c>
      <c r="E9" s="32">
        <f>Model!$B$84*E6</f>
        <v/>
      </c>
      <c r="F9" s="32">
        <f>Model!$B$84*F6</f>
        <v/>
      </c>
      <c r="G9" s="32">
        <f>Model!$B$84*G6</f>
        <v/>
      </c>
      <c r="H9" s="32">
        <f>Model!$B$84*H6</f>
        <v/>
      </c>
      <c r="I9" s="32">
        <f>Model!$B$84*I6</f>
        <v/>
      </c>
      <c r="J9" s="32">
        <f>Model!$B$84*J6</f>
        <v/>
      </c>
      <c r="K9" s="32">
        <f>Model!$B$84*K6</f>
        <v/>
      </c>
      <c r="L9" s="32">
        <f>Model!$B$84*L6</f>
        <v/>
      </c>
      <c r="M9" s="32">
        <f>Model!$B$84*M6</f>
        <v/>
      </c>
      <c r="N9" s="32">
        <f>Model!$B$84*N6</f>
        <v/>
      </c>
      <c r="O9" s="32">
        <f>Model!$B$84*O6</f>
        <v/>
      </c>
      <c r="P9" s="32">
        <f>Model!$B$84*P6</f>
        <v/>
      </c>
      <c r="Q9" s="32">
        <f>Model!$B$84*Q6</f>
        <v/>
      </c>
      <c r="R9" s="32">
        <f>Model!$B$84*R6</f>
        <v/>
      </c>
      <c r="S9" s="32">
        <f>Model!$B$84*S6</f>
        <v/>
      </c>
      <c r="T9" s="32">
        <f>Model!$B$84*T6</f>
        <v/>
      </c>
      <c r="U9" s="32">
        <f>Model!$B$84*U6</f>
        <v/>
      </c>
      <c r="V9" s="32">
        <f>Model!$B$84*V6</f>
        <v/>
      </c>
      <c r="W9" s="32">
        <f>Model!$B$84*W6</f>
        <v/>
      </c>
      <c r="X9" s="32">
        <f>Model!$B$84*X6</f>
        <v/>
      </c>
      <c r="Y9" s="32">
        <f>Model!$B$84*Y6</f>
        <v/>
      </c>
      <c r="Z9" s="5" t="n"/>
    </row>
    <row r="10">
      <c r="A10" s="5" t="inlineStr">
        <is>
          <t>Net cash flow</t>
        </is>
      </c>
      <c r="B10" s="32">
        <f>B7-B8-B9</f>
        <v/>
      </c>
      <c r="C10" s="32">
        <f>C7-C8-C9</f>
        <v/>
      </c>
      <c r="D10" s="32">
        <f>D7-D8-D9</f>
        <v/>
      </c>
      <c r="E10" s="32">
        <f>E7-E8-E9</f>
        <v/>
      </c>
      <c r="F10" s="32">
        <f>F7-F8-F9</f>
        <v/>
      </c>
      <c r="G10" s="32">
        <f>G7-G8-G9</f>
        <v/>
      </c>
      <c r="H10" s="32">
        <f>H7-H8-H9</f>
        <v/>
      </c>
      <c r="I10" s="32">
        <f>I7-I8-I9</f>
        <v/>
      </c>
      <c r="J10" s="32">
        <f>J7-J8-J9</f>
        <v/>
      </c>
      <c r="K10" s="32">
        <f>K7-K8-K9</f>
        <v/>
      </c>
      <c r="L10" s="32">
        <f>L7-L8-L9</f>
        <v/>
      </c>
      <c r="M10" s="32">
        <f>M7-M8-M9</f>
        <v/>
      </c>
      <c r="N10" s="32">
        <f>N7-N8-N9</f>
        <v/>
      </c>
      <c r="O10" s="32">
        <f>O7-O8-O9</f>
        <v/>
      </c>
      <c r="P10" s="32">
        <f>P7-P8-P9</f>
        <v/>
      </c>
      <c r="Q10" s="32">
        <f>Q7-Q8-Q9</f>
        <v/>
      </c>
      <c r="R10" s="32">
        <f>R7-R8-R9</f>
        <v/>
      </c>
      <c r="S10" s="32">
        <f>S7-S8-S9</f>
        <v/>
      </c>
      <c r="T10" s="32">
        <f>T7-T8-T9</f>
        <v/>
      </c>
      <c r="U10" s="32">
        <f>U7-U8-U9</f>
        <v/>
      </c>
      <c r="V10" s="32">
        <f>V7-V8-V9</f>
        <v/>
      </c>
      <c r="W10" s="32">
        <f>W7-W8-W9</f>
        <v/>
      </c>
      <c r="X10" s="32">
        <f>X7-X8-X9</f>
        <v/>
      </c>
      <c r="Y10" s="32">
        <f>Y7-Y8-Y9</f>
        <v/>
      </c>
      <c r="Z10" s="5" t="n"/>
    </row>
    <row r="11">
      <c r="A11" s="5" t="inlineStr">
        <is>
          <t>Cumulative cash</t>
        </is>
      </c>
      <c r="B11" s="32">
        <f>B10+INDEX(Inputs!$L$2:$L$121,MATCH("opening_cash",Inputs!$A$2:$A$121,0))</f>
        <v/>
      </c>
      <c r="C11" s="32">
        <f>C10+B11</f>
        <v/>
      </c>
      <c r="D11" s="32">
        <f>D10+C11</f>
        <v/>
      </c>
      <c r="E11" s="32">
        <f>E10+D11</f>
        <v/>
      </c>
      <c r="F11" s="32">
        <f>F10+E11</f>
        <v/>
      </c>
      <c r="G11" s="32">
        <f>G10+F11</f>
        <v/>
      </c>
      <c r="H11" s="32">
        <f>H10+G11</f>
        <v/>
      </c>
      <c r="I11" s="32">
        <f>I10+H11</f>
        <v/>
      </c>
      <c r="J11" s="32">
        <f>J10+I11</f>
        <v/>
      </c>
      <c r="K11" s="32">
        <f>K10+J11</f>
        <v/>
      </c>
      <c r="L11" s="32">
        <f>L10+K11</f>
        <v/>
      </c>
      <c r="M11" s="32">
        <f>M10+L11</f>
        <v/>
      </c>
      <c r="N11" s="32">
        <f>N10+M11</f>
        <v/>
      </c>
      <c r="O11" s="32">
        <f>O10+N11</f>
        <v/>
      </c>
      <c r="P11" s="32">
        <f>P10+O11</f>
        <v/>
      </c>
      <c r="Q11" s="32">
        <f>Q10+P11</f>
        <v/>
      </c>
      <c r="R11" s="32">
        <f>R10+Q11</f>
        <v/>
      </c>
      <c r="S11" s="32">
        <f>S10+R11</f>
        <v/>
      </c>
      <c r="T11" s="32">
        <f>T10+S11</f>
        <v/>
      </c>
      <c r="U11" s="32">
        <f>U10+T11</f>
        <v/>
      </c>
      <c r="V11" s="32">
        <f>V10+U11</f>
        <v/>
      </c>
      <c r="W11" s="32">
        <f>W10+V11</f>
        <v/>
      </c>
      <c r="X11" s="32">
        <f>X10+W11</f>
        <v/>
      </c>
      <c r="Y11" s="32">
        <f>Y10+X11</f>
        <v/>
      </c>
      <c r="Z11" s="5" t="n"/>
    </row>
    <row r="12">
      <c r="A12" s="5" t="inlineStr">
        <is>
          <t>Profitable month flag</t>
        </is>
      </c>
      <c r="B12" s="36">
        <f>IF(B10&gt;0,1,0)</f>
        <v/>
      </c>
      <c r="C12" s="36">
        <f>IF(C10&gt;0,1,0)</f>
        <v/>
      </c>
      <c r="D12" s="36">
        <f>IF(D10&gt;0,1,0)</f>
        <v/>
      </c>
      <c r="E12" s="36">
        <f>IF(E10&gt;0,1,0)</f>
        <v/>
      </c>
      <c r="F12" s="36">
        <f>IF(F10&gt;0,1,0)</f>
        <v/>
      </c>
      <c r="G12" s="36">
        <f>IF(G10&gt;0,1,0)</f>
        <v/>
      </c>
      <c r="H12" s="36">
        <f>IF(H10&gt;0,1,0)</f>
        <v/>
      </c>
      <c r="I12" s="36">
        <f>IF(I10&gt;0,1,0)</f>
        <v/>
      </c>
      <c r="J12" s="36">
        <f>IF(J10&gt;0,1,0)</f>
        <v/>
      </c>
      <c r="K12" s="36">
        <f>IF(K10&gt;0,1,0)</f>
        <v/>
      </c>
      <c r="L12" s="36">
        <f>IF(L10&gt;0,1,0)</f>
        <v/>
      </c>
      <c r="M12" s="36">
        <f>IF(M10&gt;0,1,0)</f>
        <v/>
      </c>
      <c r="N12" s="36">
        <f>IF(N10&gt;0,1,0)</f>
        <v/>
      </c>
      <c r="O12" s="36">
        <f>IF(O10&gt;0,1,0)</f>
        <v/>
      </c>
      <c r="P12" s="36">
        <f>IF(P10&gt;0,1,0)</f>
        <v/>
      </c>
      <c r="Q12" s="36">
        <f>IF(Q10&gt;0,1,0)</f>
        <v/>
      </c>
      <c r="R12" s="36">
        <f>IF(R10&gt;0,1,0)</f>
        <v/>
      </c>
      <c r="S12" s="36">
        <f>IF(S10&gt;0,1,0)</f>
        <v/>
      </c>
      <c r="T12" s="36">
        <f>IF(T10&gt;0,1,0)</f>
        <v/>
      </c>
      <c r="U12" s="36">
        <f>IF(U10&gt;0,1,0)</f>
        <v/>
      </c>
      <c r="V12" s="36">
        <f>IF(V10&gt;0,1,0)</f>
        <v/>
      </c>
      <c r="W12" s="36">
        <f>IF(W10&gt;0,1,0)</f>
        <v/>
      </c>
      <c r="X12" s="36">
        <f>IF(X10&gt;0,1,0)</f>
        <v/>
      </c>
      <c r="Y12" s="36">
        <f>IF(Y10&gt;0,1,0)</f>
        <v/>
      </c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inlineStr">
        <is>
          <t>First profitable month</t>
        </is>
      </c>
      <c r="B14" s="5">
        <f>IFERROR(MATCH(1,B12:Y12,0),"beyond 24")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inlineStr">
        <is>
          <t>Peak funding need (ZAR)</t>
        </is>
      </c>
      <c r="B15" s="37">
        <f>MAX(0,-MIN(B11:Y11))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inlineStr">
        <is>
          <t>Cumulative cash at month 24 (ZAR)</t>
        </is>
      </c>
      <c r="B16" s="37">
        <f>Y11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inlineStr">
        <is>
          <t>Revenue in year 2 (ZAR)</t>
        </is>
      </c>
      <c r="B17" s="37">
        <f>SUM(N7:Y7)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24" t="inlineStr">
        <is>
          <t>Base</t>
        </is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>
      <c r="A21" s="5" t="inlineStr">
        <is>
          <t>Month</t>
        </is>
      </c>
      <c r="B21" s="35" t="n">
        <v>1</v>
      </c>
      <c r="C21" s="35" t="n">
        <v>2</v>
      </c>
      <c r="D21" s="35" t="n">
        <v>3</v>
      </c>
      <c r="E21" s="35" t="n">
        <v>4</v>
      </c>
      <c r="F21" s="35" t="n">
        <v>5</v>
      </c>
      <c r="G21" s="35" t="n">
        <v>6</v>
      </c>
      <c r="H21" s="35" t="n">
        <v>7</v>
      </c>
      <c r="I21" s="35" t="n">
        <v>8</v>
      </c>
      <c r="J21" s="35" t="n">
        <v>9</v>
      </c>
      <c r="K21" s="35" t="n">
        <v>10</v>
      </c>
      <c r="L21" s="35" t="n">
        <v>11</v>
      </c>
      <c r="M21" s="35" t="n">
        <v>12</v>
      </c>
      <c r="N21" s="35" t="n">
        <v>13</v>
      </c>
      <c r="O21" s="35" t="n">
        <v>14</v>
      </c>
      <c r="P21" s="35" t="n">
        <v>15</v>
      </c>
      <c r="Q21" s="35" t="n">
        <v>16</v>
      </c>
      <c r="R21" s="35" t="n">
        <v>17</v>
      </c>
      <c r="S21" s="35" t="n">
        <v>18</v>
      </c>
      <c r="T21" s="35" t="n">
        <v>19</v>
      </c>
      <c r="U21" s="35" t="n">
        <v>20</v>
      </c>
      <c r="V21" s="35" t="n">
        <v>21</v>
      </c>
      <c r="W21" s="35" t="n">
        <v>22</v>
      </c>
      <c r="X21" s="35" t="n">
        <v>23</v>
      </c>
      <c r="Y21" s="35" t="n">
        <v>24</v>
      </c>
      <c r="Z21" s="5" t="n"/>
    </row>
    <row r="22">
      <c r="A22" s="5" t="inlineStr">
        <is>
          <t>MAU</t>
        </is>
      </c>
      <c r="B22" s="29">
        <f>IF(B$21&lt;=Model!$C$65,Model!$C$76*Model!$C$66*B$21/Model!$C$65,MIN(Model!$C$76,Model!$C$76*Model!$C$66+(Model!$C$76-Model!$C$76*Model!$C$66)*(B$21-Model!$C$65)/Model!$C$67))</f>
        <v/>
      </c>
      <c r="C22" s="29">
        <f>IF(C$21&lt;=Model!$C$65,Model!$C$76*Model!$C$66*C$21/Model!$C$65,MIN(Model!$C$76,Model!$C$76*Model!$C$66+(Model!$C$76-Model!$C$76*Model!$C$66)*(C$21-Model!$C$65)/Model!$C$67))</f>
        <v/>
      </c>
      <c r="D22" s="29">
        <f>IF(D$21&lt;=Model!$C$65,Model!$C$76*Model!$C$66*D$21/Model!$C$65,MIN(Model!$C$76,Model!$C$76*Model!$C$66+(Model!$C$76-Model!$C$76*Model!$C$66)*(D$21-Model!$C$65)/Model!$C$67))</f>
        <v/>
      </c>
      <c r="E22" s="29">
        <f>IF(E$21&lt;=Model!$C$65,Model!$C$76*Model!$C$66*E$21/Model!$C$65,MIN(Model!$C$76,Model!$C$76*Model!$C$66+(Model!$C$76-Model!$C$76*Model!$C$66)*(E$21-Model!$C$65)/Model!$C$67))</f>
        <v/>
      </c>
      <c r="F22" s="29">
        <f>IF(F$21&lt;=Model!$C$65,Model!$C$76*Model!$C$66*F$21/Model!$C$65,MIN(Model!$C$76,Model!$C$76*Model!$C$66+(Model!$C$76-Model!$C$76*Model!$C$66)*(F$21-Model!$C$65)/Model!$C$67))</f>
        <v/>
      </c>
      <c r="G22" s="29">
        <f>IF(G$21&lt;=Model!$C$65,Model!$C$76*Model!$C$66*G$21/Model!$C$65,MIN(Model!$C$76,Model!$C$76*Model!$C$66+(Model!$C$76-Model!$C$76*Model!$C$66)*(G$21-Model!$C$65)/Model!$C$67))</f>
        <v/>
      </c>
      <c r="H22" s="29">
        <f>IF(H$21&lt;=Model!$C$65,Model!$C$76*Model!$C$66*H$21/Model!$C$65,MIN(Model!$C$76,Model!$C$76*Model!$C$66+(Model!$C$76-Model!$C$76*Model!$C$66)*(H$21-Model!$C$65)/Model!$C$67))</f>
        <v/>
      </c>
      <c r="I22" s="29">
        <f>IF(I$21&lt;=Model!$C$65,Model!$C$76*Model!$C$66*I$21/Model!$C$65,MIN(Model!$C$76,Model!$C$76*Model!$C$66+(Model!$C$76-Model!$C$76*Model!$C$66)*(I$21-Model!$C$65)/Model!$C$67))</f>
        <v/>
      </c>
      <c r="J22" s="29">
        <f>IF(J$21&lt;=Model!$C$65,Model!$C$76*Model!$C$66*J$21/Model!$C$65,MIN(Model!$C$76,Model!$C$76*Model!$C$66+(Model!$C$76-Model!$C$76*Model!$C$66)*(J$21-Model!$C$65)/Model!$C$67))</f>
        <v/>
      </c>
      <c r="K22" s="29">
        <f>IF(K$21&lt;=Model!$C$65,Model!$C$76*Model!$C$66*K$21/Model!$C$65,MIN(Model!$C$76,Model!$C$76*Model!$C$66+(Model!$C$76-Model!$C$76*Model!$C$66)*(K$21-Model!$C$65)/Model!$C$67))</f>
        <v/>
      </c>
      <c r="L22" s="29">
        <f>IF(L$21&lt;=Model!$C$65,Model!$C$76*Model!$C$66*L$21/Model!$C$65,MIN(Model!$C$76,Model!$C$76*Model!$C$66+(Model!$C$76-Model!$C$76*Model!$C$66)*(L$21-Model!$C$65)/Model!$C$67))</f>
        <v/>
      </c>
      <c r="M22" s="29">
        <f>IF(M$21&lt;=Model!$C$65,Model!$C$76*Model!$C$66*M$21/Model!$C$65,MIN(Model!$C$76,Model!$C$76*Model!$C$66+(Model!$C$76-Model!$C$76*Model!$C$66)*(M$21-Model!$C$65)/Model!$C$67))</f>
        <v/>
      </c>
      <c r="N22" s="29">
        <f>IF(N$21&lt;=Model!$C$65,Model!$C$76*Model!$C$66*N$21/Model!$C$65,MIN(Model!$C$76,Model!$C$76*Model!$C$66+(Model!$C$76-Model!$C$76*Model!$C$66)*(N$21-Model!$C$65)/Model!$C$67))</f>
        <v/>
      </c>
      <c r="O22" s="29">
        <f>IF(O$21&lt;=Model!$C$65,Model!$C$76*Model!$C$66*O$21/Model!$C$65,MIN(Model!$C$76,Model!$C$76*Model!$C$66+(Model!$C$76-Model!$C$76*Model!$C$66)*(O$21-Model!$C$65)/Model!$C$67))</f>
        <v/>
      </c>
      <c r="P22" s="29">
        <f>IF(P$21&lt;=Model!$C$65,Model!$C$76*Model!$C$66*P$21/Model!$C$65,MIN(Model!$C$76,Model!$C$76*Model!$C$66+(Model!$C$76-Model!$C$76*Model!$C$66)*(P$21-Model!$C$65)/Model!$C$67))</f>
        <v/>
      </c>
      <c r="Q22" s="29">
        <f>IF(Q$21&lt;=Model!$C$65,Model!$C$76*Model!$C$66*Q$21/Model!$C$65,MIN(Model!$C$76,Model!$C$76*Model!$C$66+(Model!$C$76-Model!$C$76*Model!$C$66)*(Q$21-Model!$C$65)/Model!$C$67))</f>
        <v/>
      </c>
      <c r="R22" s="29">
        <f>IF(R$21&lt;=Model!$C$65,Model!$C$76*Model!$C$66*R$21/Model!$C$65,MIN(Model!$C$76,Model!$C$76*Model!$C$66+(Model!$C$76-Model!$C$76*Model!$C$66)*(R$21-Model!$C$65)/Model!$C$67))</f>
        <v/>
      </c>
      <c r="S22" s="29">
        <f>IF(S$21&lt;=Model!$C$65,Model!$C$76*Model!$C$66*S$21/Model!$C$65,MIN(Model!$C$76,Model!$C$76*Model!$C$66+(Model!$C$76-Model!$C$76*Model!$C$66)*(S$21-Model!$C$65)/Model!$C$67))</f>
        <v/>
      </c>
      <c r="T22" s="29">
        <f>IF(T$21&lt;=Model!$C$65,Model!$C$76*Model!$C$66*T$21/Model!$C$65,MIN(Model!$C$76,Model!$C$76*Model!$C$66+(Model!$C$76-Model!$C$76*Model!$C$66)*(T$21-Model!$C$65)/Model!$C$67))</f>
        <v/>
      </c>
      <c r="U22" s="29">
        <f>IF(U$21&lt;=Model!$C$65,Model!$C$76*Model!$C$66*U$21/Model!$C$65,MIN(Model!$C$76,Model!$C$76*Model!$C$66+(Model!$C$76-Model!$C$76*Model!$C$66)*(U$21-Model!$C$65)/Model!$C$67))</f>
        <v/>
      </c>
      <c r="V22" s="29">
        <f>IF(V$21&lt;=Model!$C$65,Model!$C$76*Model!$C$66*V$21/Model!$C$65,MIN(Model!$C$76,Model!$C$76*Model!$C$66+(Model!$C$76-Model!$C$76*Model!$C$66)*(V$21-Model!$C$65)/Model!$C$67))</f>
        <v/>
      </c>
      <c r="W22" s="29">
        <f>IF(W$21&lt;=Model!$C$65,Model!$C$76*Model!$C$66*W$21/Model!$C$65,MIN(Model!$C$76,Model!$C$76*Model!$C$66+(Model!$C$76-Model!$C$76*Model!$C$66)*(W$21-Model!$C$65)/Model!$C$67))</f>
        <v/>
      </c>
      <c r="X22" s="29">
        <f>IF(X$21&lt;=Model!$C$65,Model!$C$76*Model!$C$66*X$21/Model!$C$65,MIN(Model!$C$76,Model!$C$76*Model!$C$66+(Model!$C$76-Model!$C$76*Model!$C$66)*(X$21-Model!$C$65)/Model!$C$67))</f>
        <v/>
      </c>
      <c r="Y22" s="29">
        <f>IF(Y$21&lt;=Model!$C$65,Model!$C$76*Model!$C$66*Y$21/Model!$C$65,MIN(Model!$C$76,Model!$C$76*Model!$C$66+(Model!$C$76-Model!$C$76*Model!$C$66)*(Y$21-Model!$C$65)/Model!$C$67))</f>
        <v/>
      </c>
      <c r="Z22" s="5" t="n"/>
    </row>
    <row r="23">
      <c r="A23" s="5" t="inlineStr">
        <is>
          <t>Revenue</t>
        </is>
      </c>
      <c r="B23" s="32">
        <f>IF(B$21&lt;=Model!$C$65,Model!$C$38/Model!$C$65,MAX(Model!$C$37*B22,Model!$C$39/12))</f>
        <v/>
      </c>
      <c r="C23" s="32">
        <f>IF(C$21&lt;=Model!$C$65,Model!$C$38/Model!$C$65,MAX(Model!$C$37*C22,Model!$C$39/12))</f>
        <v/>
      </c>
      <c r="D23" s="32">
        <f>IF(D$21&lt;=Model!$C$65,Model!$C$38/Model!$C$65,MAX(Model!$C$37*D22,Model!$C$39/12))</f>
        <v/>
      </c>
      <c r="E23" s="32">
        <f>IF(E$21&lt;=Model!$C$65,Model!$C$38/Model!$C$65,MAX(Model!$C$37*E22,Model!$C$39/12))</f>
        <v/>
      </c>
      <c r="F23" s="32">
        <f>IF(F$21&lt;=Model!$C$65,Model!$C$38/Model!$C$65,MAX(Model!$C$37*F22,Model!$C$39/12))</f>
        <v/>
      </c>
      <c r="G23" s="32">
        <f>IF(G$21&lt;=Model!$C$65,Model!$C$38/Model!$C$65,MAX(Model!$C$37*G22,Model!$C$39/12))</f>
        <v/>
      </c>
      <c r="H23" s="32">
        <f>IF(H$21&lt;=Model!$C$65,Model!$C$38/Model!$C$65,MAX(Model!$C$37*H22,Model!$C$39/12))</f>
        <v/>
      </c>
      <c r="I23" s="32">
        <f>IF(I$21&lt;=Model!$C$65,Model!$C$38/Model!$C$65,MAX(Model!$C$37*I22,Model!$C$39/12))</f>
        <v/>
      </c>
      <c r="J23" s="32">
        <f>IF(J$21&lt;=Model!$C$65,Model!$C$38/Model!$C$65,MAX(Model!$C$37*J22,Model!$C$39/12))</f>
        <v/>
      </c>
      <c r="K23" s="32">
        <f>IF(K$21&lt;=Model!$C$65,Model!$C$38/Model!$C$65,MAX(Model!$C$37*K22,Model!$C$39/12))</f>
        <v/>
      </c>
      <c r="L23" s="32">
        <f>IF(L$21&lt;=Model!$C$65,Model!$C$38/Model!$C$65,MAX(Model!$C$37*L22,Model!$C$39/12))</f>
        <v/>
      </c>
      <c r="M23" s="32">
        <f>IF(M$21&lt;=Model!$C$65,Model!$C$38/Model!$C$65,MAX(Model!$C$37*M22,Model!$C$39/12))</f>
        <v/>
      </c>
      <c r="N23" s="32">
        <f>IF(N$21&lt;=Model!$C$65,Model!$C$38/Model!$C$65,MAX(Model!$C$37*N22,Model!$C$39/12))</f>
        <v/>
      </c>
      <c r="O23" s="32">
        <f>IF(O$21&lt;=Model!$C$65,Model!$C$38/Model!$C$65,MAX(Model!$C$37*O22,Model!$C$39/12))</f>
        <v/>
      </c>
      <c r="P23" s="32">
        <f>IF(P$21&lt;=Model!$C$65,Model!$C$38/Model!$C$65,MAX(Model!$C$37*P22,Model!$C$39/12))</f>
        <v/>
      </c>
      <c r="Q23" s="32">
        <f>IF(Q$21&lt;=Model!$C$65,Model!$C$38/Model!$C$65,MAX(Model!$C$37*Q22,Model!$C$39/12))</f>
        <v/>
      </c>
      <c r="R23" s="32">
        <f>IF(R$21&lt;=Model!$C$65,Model!$C$38/Model!$C$65,MAX(Model!$C$37*R22,Model!$C$39/12))</f>
        <v/>
      </c>
      <c r="S23" s="32">
        <f>IF(S$21&lt;=Model!$C$65,Model!$C$38/Model!$C$65,MAX(Model!$C$37*S22,Model!$C$39/12))</f>
        <v/>
      </c>
      <c r="T23" s="32">
        <f>IF(T$21&lt;=Model!$C$65,Model!$C$38/Model!$C$65,MAX(Model!$C$37*T22,Model!$C$39/12))</f>
        <v/>
      </c>
      <c r="U23" s="32">
        <f>IF(U$21&lt;=Model!$C$65,Model!$C$38/Model!$C$65,MAX(Model!$C$37*U22,Model!$C$39/12))</f>
        <v/>
      </c>
      <c r="V23" s="32">
        <f>IF(V$21&lt;=Model!$C$65,Model!$C$38/Model!$C$65,MAX(Model!$C$37*V22,Model!$C$39/12))</f>
        <v/>
      </c>
      <c r="W23" s="32">
        <f>IF(W$21&lt;=Model!$C$65,Model!$C$38/Model!$C$65,MAX(Model!$C$37*W22,Model!$C$39/12))</f>
        <v/>
      </c>
      <c r="X23" s="32">
        <f>IF(X$21&lt;=Model!$C$65,Model!$C$38/Model!$C$65,MAX(Model!$C$37*X22,Model!$C$39/12))</f>
        <v/>
      </c>
      <c r="Y23" s="32">
        <f>IF(Y$21&lt;=Model!$C$65,Model!$C$38/Model!$C$65,MAX(Model!$C$37*Y22,Model!$C$39/12))</f>
        <v/>
      </c>
      <c r="Z23" s="5" t="n"/>
    </row>
    <row r="24">
      <c r="A24" s="5" t="inlineStr">
        <is>
          <t>Fixed cost</t>
        </is>
      </c>
      <c r="B24" s="9">
        <f>Model!$C$87</f>
        <v/>
      </c>
      <c r="C24" s="9">
        <f>Model!$C$87</f>
        <v/>
      </c>
      <c r="D24" s="9">
        <f>Model!$C$87</f>
        <v/>
      </c>
      <c r="E24" s="9">
        <f>Model!$C$87</f>
        <v/>
      </c>
      <c r="F24" s="9">
        <f>Model!$C$87</f>
        <v/>
      </c>
      <c r="G24" s="9">
        <f>Model!$C$87</f>
        <v/>
      </c>
      <c r="H24" s="9">
        <f>Model!$C$87</f>
        <v/>
      </c>
      <c r="I24" s="9">
        <f>Model!$C$87</f>
        <v/>
      </c>
      <c r="J24" s="9">
        <f>Model!$C$87</f>
        <v/>
      </c>
      <c r="K24" s="9">
        <f>Model!$C$87</f>
        <v/>
      </c>
      <c r="L24" s="9">
        <f>Model!$C$87</f>
        <v/>
      </c>
      <c r="M24" s="9">
        <f>Model!$C$87</f>
        <v/>
      </c>
      <c r="N24" s="9">
        <f>Model!$C$87</f>
        <v/>
      </c>
      <c r="O24" s="9">
        <f>Model!$C$87</f>
        <v/>
      </c>
      <c r="P24" s="9">
        <f>Model!$C$87</f>
        <v/>
      </c>
      <c r="Q24" s="9">
        <f>Model!$C$87</f>
        <v/>
      </c>
      <c r="R24" s="9">
        <f>Model!$C$87</f>
        <v/>
      </c>
      <c r="S24" s="9">
        <f>Model!$C$87</f>
        <v/>
      </c>
      <c r="T24" s="9">
        <f>Model!$C$87</f>
        <v/>
      </c>
      <c r="U24" s="9">
        <f>Model!$C$87</f>
        <v/>
      </c>
      <c r="V24" s="9">
        <f>Model!$C$87</f>
        <v/>
      </c>
      <c r="W24" s="9">
        <f>Model!$C$87</f>
        <v/>
      </c>
      <c r="X24" s="9">
        <f>Model!$C$87</f>
        <v/>
      </c>
      <c r="Y24" s="9">
        <f>Model!$C$87</f>
        <v/>
      </c>
      <c r="Z24" s="5" t="n"/>
    </row>
    <row r="25">
      <c r="A25" s="5" t="inlineStr">
        <is>
          <t>Variable cost</t>
        </is>
      </c>
      <c r="B25" s="32">
        <f>Model!$C$84*B22</f>
        <v/>
      </c>
      <c r="C25" s="32">
        <f>Model!$C$84*C22</f>
        <v/>
      </c>
      <c r="D25" s="32">
        <f>Model!$C$84*D22</f>
        <v/>
      </c>
      <c r="E25" s="32">
        <f>Model!$C$84*E22</f>
        <v/>
      </c>
      <c r="F25" s="32">
        <f>Model!$C$84*F22</f>
        <v/>
      </c>
      <c r="G25" s="32">
        <f>Model!$C$84*G22</f>
        <v/>
      </c>
      <c r="H25" s="32">
        <f>Model!$C$84*H22</f>
        <v/>
      </c>
      <c r="I25" s="32">
        <f>Model!$C$84*I22</f>
        <v/>
      </c>
      <c r="J25" s="32">
        <f>Model!$C$84*J22</f>
        <v/>
      </c>
      <c r="K25" s="32">
        <f>Model!$C$84*K22</f>
        <v/>
      </c>
      <c r="L25" s="32">
        <f>Model!$C$84*L22</f>
        <v/>
      </c>
      <c r="M25" s="32">
        <f>Model!$C$84*M22</f>
        <v/>
      </c>
      <c r="N25" s="32">
        <f>Model!$C$84*N22</f>
        <v/>
      </c>
      <c r="O25" s="32">
        <f>Model!$C$84*O22</f>
        <v/>
      </c>
      <c r="P25" s="32">
        <f>Model!$C$84*P22</f>
        <v/>
      </c>
      <c r="Q25" s="32">
        <f>Model!$C$84*Q22</f>
        <v/>
      </c>
      <c r="R25" s="32">
        <f>Model!$C$84*R22</f>
        <v/>
      </c>
      <c r="S25" s="32">
        <f>Model!$C$84*S22</f>
        <v/>
      </c>
      <c r="T25" s="32">
        <f>Model!$C$84*T22</f>
        <v/>
      </c>
      <c r="U25" s="32">
        <f>Model!$C$84*U22</f>
        <v/>
      </c>
      <c r="V25" s="32">
        <f>Model!$C$84*V22</f>
        <v/>
      </c>
      <c r="W25" s="32">
        <f>Model!$C$84*W22</f>
        <v/>
      </c>
      <c r="X25" s="32">
        <f>Model!$C$84*X22</f>
        <v/>
      </c>
      <c r="Y25" s="32">
        <f>Model!$C$84*Y22</f>
        <v/>
      </c>
      <c r="Z25" s="5" t="n"/>
    </row>
    <row r="26">
      <c r="A26" s="5" t="inlineStr">
        <is>
          <t>Net cash flow</t>
        </is>
      </c>
      <c r="B26" s="32">
        <f>B23-B24-B25</f>
        <v/>
      </c>
      <c r="C26" s="32">
        <f>C23-C24-C25</f>
        <v/>
      </c>
      <c r="D26" s="32">
        <f>D23-D24-D25</f>
        <v/>
      </c>
      <c r="E26" s="32">
        <f>E23-E24-E25</f>
        <v/>
      </c>
      <c r="F26" s="32">
        <f>F23-F24-F25</f>
        <v/>
      </c>
      <c r="G26" s="32">
        <f>G23-G24-G25</f>
        <v/>
      </c>
      <c r="H26" s="32">
        <f>H23-H24-H25</f>
        <v/>
      </c>
      <c r="I26" s="32">
        <f>I23-I24-I25</f>
        <v/>
      </c>
      <c r="J26" s="32">
        <f>J23-J24-J25</f>
        <v/>
      </c>
      <c r="K26" s="32">
        <f>K23-K24-K25</f>
        <v/>
      </c>
      <c r="L26" s="32">
        <f>L23-L24-L25</f>
        <v/>
      </c>
      <c r="M26" s="32">
        <f>M23-M24-M25</f>
        <v/>
      </c>
      <c r="N26" s="32">
        <f>N23-N24-N25</f>
        <v/>
      </c>
      <c r="O26" s="32">
        <f>O23-O24-O25</f>
        <v/>
      </c>
      <c r="P26" s="32">
        <f>P23-P24-P25</f>
        <v/>
      </c>
      <c r="Q26" s="32">
        <f>Q23-Q24-Q25</f>
        <v/>
      </c>
      <c r="R26" s="32">
        <f>R23-R24-R25</f>
        <v/>
      </c>
      <c r="S26" s="32">
        <f>S23-S24-S25</f>
        <v/>
      </c>
      <c r="T26" s="32">
        <f>T23-T24-T25</f>
        <v/>
      </c>
      <c r="U26" s="32">
        <f>U23-U24-U25</f>
        <v/>
      </c>
      <c r="V26" s="32">
        <f>V23-V24-V25</f>
        <v/>
      </c>
      <c r="W26" s="32">
        <f>W23-W24-W25</f>
        <v/>
      </c>
      <c r="X26" s="32">
        <f>X23-X24-X25</f>
        <v/>
      </c>
      <c r="Y26" s="32">
        <f>Y23-Y24-Y25</f>
        <v/>
      </c>
      <c r="Z26" s="5" t="n"/>
    </row>
    <row r="27">
      <c r="A27" s="5" t="inlineStr">
        <is>
          <t>Cumulative cash</t>
        </is>
      </c>
      <c r="B27" s="32">
        <f>B26+INDEX(Inputs!$L$2:$L$121,MATCH("opening_cash",Inputs!$A$2:$A$121,0))</f>
        <v/>
      </c>
      <c r="C27" s="32">
        <f>C26+B27</f>
        <v/>
      </c>
      <c r="D27" s="32">
        <f>D26+C27</f>
        <v/>
      </c>
      <c r="E27" s="32">
        <f>E26+D27</f>
        <v/>
      </c>
      <c r="F27" s="32">
        <f>F26+E27</f>
        <v/>
      </c>
      <c r="G27" s="32">
        <f>G26+F27</f>
        <v/>
      </c>
      <c r="H27" s="32">
        <f>H26+G27</f>
        <v/>
      </c>
      <c r="I27" s="32">
        <f>I26+H27</f>
        <v/>
      </c>
      <c r="J27" s="32">
        <f>J26+I27</f>
        <v/>
      </c>
      <c r="K27" s="32">
        <f>K26+J27</f>
        <v/>
      </c>
      <c r="L27" s="32">
        <f>L26+K27</f>
        <v/>
      </c>
      <c r="M27" s="32">
        <f>M26+L27</f>
        <v/>
      </c>
      <c r="N27" s="32">
        <f>N26+M27</f>
        <v/>
      </c>
      <c r="O27" s="32">
        <f>O26+N27</f>
        <v/>
      </c>
      <c r="P27" s="32">
        <f>P26+O27</f>
        <v/>
      </c>
      <c r="Q27" s="32">
        <f>Q26+P27</f>
        <v/>
      </c>
      <c r="R27" s="32">
        <f>R26+Q27</f>
        <v/>
      </c>
      <c r="S27" s="32">
        <f>S26+R27</f>
        <v/>
      </c>
      <c r="T27" s="32">
        <f>T26+S27</f>
        <v/>
      </c>
      <c r="U27" s="32">
        <f>U26+T27</f>
        <v/>
      </c>
      <c r="V27" s="32">
        <f>V26+U27</f>
        <v/>
      </c>
      <c r="W27" s="32">
        <f>W26+V27</f>
        <v/>
      </c>
      <c r="X27" s="32">
        <f>X26+W27</f>
        <v/>
      </c>
      <c r="Y27" s="32">
        <f>Y26+X27</f>
        <v/>
      </c>
      <c r="Z27" s="5" t="n"/>
    </row>
    <row r="28">
      <c r="A28" s="5" t="inlineStr">
        <is>
          <t>Profitable month flag</t>
        </is>
      </c>
      <c r="B28" s="36">
        <f>IF(B26&gt;0,1,0)</f>
        <v/>
      </c>
      <c r="C28" s="36">
        <f>IF(C26&gt;0,1,0)</f>
        <v/>
      </c>
      <c r="D28" s="36">
        <f>IF(D26&gt;0,1,0)</f>
        <v/>
      </c>
      <c r="E28" s="36">
        <f>IF(E26&gt;0,1,0)</f>
        <v/>
      </c>
      <c r="F28" s="36">
        <f>IF(F26&gt;0,1,0)</f>
        <v/>
      </c>
      <c r="G28" s="36">
        <f>IF(G26&gt;0,1,0)</f>
        <v/>
      </c>
      <c r="H28" s="36">
        <f>IF(H26&gt;0,1,0)</f>
        <v/>
      </c>
      <c r="I28" s="36">
        <f>IF(I26&gt;0,1,0)</f>
        <v/>
      </c>
      <c r="J28" s="36">
        <f>IF(J26&gt;0,1,0)</f>
        <v/>
      </c>
      <c r="K28" s="36">
        <f>IF(K26&gt;0,1,0)</f>
        <v/>
      </c>
      <c r="L28" s="36">
        <f>IF(L26&gt;0,1,0)</f>
        <v/>
      </c>
      <c r="M28" s="36">
        <f>IF(M26&gt;0,1,0)</f>
        <v/>
      </c>
      <c r="N28" s="36">
        <f>IF(N26&gt;0,1,0)</f>
        <v/>
      </c>
      <c r="O28" s="36">
        <f>IF(O26&gt;0,1,0)</f>
        <v/>
      </c>
      <c r="P28" s="36">
        <f>IF(P26&gt;0,1,0)</f>
        <v/>
      </c>
      <c r="Q28" s="36">
        <f>IF(Q26&gt;0,1,0)</f>
        <v/>
      </c>
      <c r="R28" s="36">
        <f>IF(R26&gt;0,1,0)</f>
        <v/>
      </c>
      <c r="S28" s="36">
        <f>IF(S26&gt;0,1,0)</f>
        <v/>
      </c>
      <c r="T28" s="36">
        <f>IF(T26&gt;0,1,0)</f>
        <v/>
      </c>
      <c r="U28" s="36">
        <f>IF(U26&gt;0,1,0)</f>
        <v/>
      </c>
      <c r="V28" s="36">
        <f>IF(V26&gt;0,1,0)</f>
        <v/>
      </c>
      <c r="W28" s="36">
        <f>IF(W26&gt;0,1,0)</f>
        <v/>
      </c>
      <c r="X28" s="36">
        <f>IF(X26&gt;0,1,0)</f>
        <v/>
      </c>
      <c r="Y28" s="36">
        <f>IF(Y26&gt;0,1,0)</f>
        <v/>
      </c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inlineStr">
        <is>
          <t>First profitable month</t>
        </is>
      </c>
      <c r="B30" s="5">
        <f>IFERROR(MATCH(1,B28:Y28,0),"beyond 24")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inlineStr">
        <is>
          <t>Peak funding need (ZAR)</t>
        </is>
      </c>
      <c r="B31" s="37">
        <f>MAX(0,-MIN(B27:Y27))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inlineStr">
        <is>
          <t>Cumulative cash at month 24 (ZAR)</t>
        </is>
      </c>
      <c r="B32" s="37">
        <f>Y27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inlineStr">
        <is>
          <t>Revenue in year 2 (ZAR)</t>
        </is>
      </c>
      <c r="B33" s="37">
        <f>SUM(N23:Y23)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24" t="inlineStr">
        <is>
          <t>Ambitious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>
      <c r="A37" s="5" t="inlineStr">
        <is>
          <t>Month</t>
        </is>
      </c>
      <c r="B37" s="35" t="n">
        <v>1</v>
      </c>
      <c r="C37" s="35" t="n">
        <v>2</v>
      </c>
      <c r="D37" s="35" t="n">
        <v>3</v>
      </c>
      <c r="E37" s="35" t="n">
        <v>4</v>
      </c>
      <c r="F37" s="35" t="n">
        <v>5</v>
      </c>
      <c r="G37" s="35" t="n">
        <v>6</v>
      </c>
      <c r="H37" s="35" t="n">
        <v>7</v>
      </c>
      <c r="I37" s="35" t="n">
        <v>8</v>
      </c>
      <c r="J37" s="35" t="n">
        <v>9</v>
      </c>
      <c r="K37" s="35" t="n">
        <v>10</v>
      </c>
      <c r="L37" s="35" t="n">
        <v>11</v>
      </c>
      <c r="M37" s="35" t="n">
        <v>12</v>
      </c>
      <c r="N37" s="35" t="n">
        <v>13</v>
      </c>
      <c r="O37" s="35" t="n">
        <v>14</v>
      </c>
      <c r="P37" s="35" t="n">
        <v>15</v>
      </c>
      <c r="Q37" s="35" t="n">
        <v>16</v>
      </c>
      <c r="R37" s="35" t="n">
        <v>17</v>
      </c>
      <c r="S37" s="35" t="n">
        <v>18</v>
      </c>
      <c r="T37" s="35" t="n">
        <v>19</v>
      </c>
      <c r="U37" s="35" t="n">
        <v>20</v>
      </c>
      <c r="V37" s="35" t="n">
        <v>21</v>
      </c>
      <c r="W37" s="35" t="n">
        <v>22</v>
      </c>
      <c r="X37" s="35" t="n">
        <v>23</v>
      </c>
      <c r="Y37" s="35" t="n">
        <v>24</v>
      </c>
      <c r="Z37" s="5" t="n"/>
    </row>
    <row r="38">
      <c r="A38" s="5" t="inlineStr">
        <is>
          <t>MAU</t>
        </is>
      </c>
      <c r="B38" s="29">
        <f>IF(B$37&lt;=Model!$D$65,Model!$D$76*Model!$D$66*B$37/Model!$D$65,MIN(Model!$D$76,Model!$D$76*Model!$D$66+(Model!$D$76-Model!$D$76*Model!$D$66)*(B$37-Model!$D$65)/Model!$D$67))</f>
        <v/>
      </c>
      <c r="C38" s="29">
        <f>IF(C$37&lt;=Model!$D$65,Model!$D$76*Model!$D$66*C$37/Model!$D$65,MIN(Model!$D$76,Model!$D$76*Model!$D$66+(Model!$D$76-Model!$D$76*Model!$D$66)*(C$37-Model!$D$65)/Model!$D$67))</f>
        <v/>
      </c>
      <c r="D38" s="29">
        <f>IF(D$37&lt;=Model!$D$65,Model!$D$76*Model!$D$66*D$37/Model!$D$65,MIN(Model!$D$76,Model!$D$76*Model!$D$66+(Model!$D$76-Model!$D$76*Model!$D$66)*(D$37-Model!$D$65)/Model!$D$67))</f>
        <v/>
      </c>
      <c r="E38" s="29">
        <f>IF(E$37&lt;=Model!$D$65,Model!$D$76*Model!$D$66*E$37/Model!$D$65,MIN(Model!$D$76,Model!$D$76*Model!$D$66+(Model!$D$76-Model!$D$76*Model!$D$66)*(E$37-Model!$D$65)/Model!$D$67))</f>
        <v/>
      </c>
      <c r="F38" s="29">
        <f>IF(F$37&lt;=Model!$D$65,Model!$D$76*Model!$D$66*F$37/Model!$D$65,MIN(Model!$D$76,Model!$D$76*Model!$D$66+(Model!$D$76-Model!$D$76*Model!$D$66)*(F$37-Model!$D$65)/Model!$D$67))</f>
        <v/>
      </c>
      <c r="G38" s="29">
        <f>IF(G$37&lt;=Model!$D$65,Model!$D$76*Model!$D$66*G$37/Model!$D$65,MIN(Model!$D$76,Model!$D$76*Model!$D$66+(Model!$D$76-Model!$D$76*Model!$D$66)*(G$37-Model!$D$65)/Model!$D$67))</f>
        <v/>
      </c>
      <c r="H38" s="29">
        <f>IF(H$37&lt;=Model!$D$65,Model!$D$76*Model!$D$66*H$37/Model!$D$65,MIN(Model!$D$76,Model!$D$76*Model!$D$66+(Model!$D$76-Model!$D$76*Model!$D$66)*(H$37-Model!$D$65)/Model!$D$67))</f>
        <v/>
      </c>
      <c r="I38" s="29">
        <f>IF(I$37&lt;=Model!$D$65,Model!$D$76*Model!$D$66*I$37/Model!$D$65,MIN(Model!$D$76,Model!$D$76*Model!$D$66+(Model!$D$76-Model!$D$76*Model!$D$66)*(I$37-Model!$D$65)/Model!$D$67))</f>
        <v/>
      </c>
      <c r="J38" s="29">
        <f>IF(J$37&lt;=Model!$D$65,Model!$D$76*Model!$D$66*J$37/Model!$D$65,MIN(Model!$D$76,Model!$D$76*Model!$D$66+(Model!$D$76-Model!$D$76*Model!$D$66)*(J$37-Model!$D$65)/Model!$D$67))</f>
        <v/>
      </c>
      <c r="K38" s="29">
        <f>IF(K$37&lt;=Model!$D$65,Model!$D$76*Model!$D$66*K$37/Model!$D$65,MIN(Model!$D$76,Model!$D$76*Model!$D$66+(Model!$D$76-Model!$D$76*Model!$D$66)*(K$37-Model!$D$65)/Model!$D$67))</f>
        <v/>
      </c>
      <c r="L38" s="29">
        <f>IF(L$37&lt;=Model!$D$65,Model!$D$76*Model!$D$66*L$37/Model!$D$65,MIN(Model!$D$76,Model!$D$76*Model!$D$66+(Model!$D$76-Model!$D$76*Model!$D$66)*(L$37-Model!$D$65)/Model!$D$67))</f>
        <v/>
      </c>
      <c r="M38" s="29">
        <f>IF(M$37&lt;=Model!$D$65,Model!$D$76*Model!$D$66*M$37/Model!$D$65,MIN(Model!$D$76,Model!$D$76*Model!$D$66+(Model!$D$76-Model!$D$76*Model!$D$66)*(M$37-Model!$D$65)/Model!$D$67))</f>
        <v/>
      </c>
      <c r="N38" s="29">
        <f>IF(N$37&lt;=Model!$D$65,Model!$D$76*Model!$D$66*N$37/Model!$D$65,MIN(Model!$D$76,Model!$D$76*Model!$D$66+(Model!$D$76-Model!$D$76*Model!$D$66)*(N$37-Model!$D$65)/Model!$D$67))</f>
        <v/>
      </c>
      <c r="O38" s="29">
        <f>IF(O$37&lt;=Model!$D$65,Model!$D$76*Model!$D$66*O$37/Model!$D$65,MIN(Model!$D$76,Model!$D$76*Model!$D$66+(Model!$D$76-Model!$D$76*Model!$D$66)*(O$37-Model!$D$65)/Model!$D$67))</f>
        <v/>
      </c>
      <c r="P38" s="29">
        <f>IF(P$37&lt;=Model!$D$65,Model!$D$76*Model!$D$66*P$37/Model!$D$65,MIN(Model!$D$76,Model!$D$76*Model!$D$66+(Model!$D$76-Model!$D$76*Model!$D$66)*(P$37-Model!$D$65)/Model!$D$67))</f>
        <v/>
      </c>
      <c r="Q38" s="29">
        <f>IF(Q$37&lt;=Model!$D$65,Model!$D$76*Model!$D$66*Q$37/Model!$D$65,MIN(Model!$D$76,Model!$D$76*Model!$D$66+(Model!$D$76-Model!$D$76*Model!$D$66)*(Q$37-Model!$D$65)/Model!$D$67))</f>
        <v/>
      </c>
      <c r="R38" s="29">
        <f>IF(R$37&lt;=Model!$D$65,Model!$D$76*Model!$D$66*R$37/Model!$D$65,MIN(Model!$D$76,Model!$D$76*Model!$D$66+(Model!$D$76-Model!$D$76*Model!$D$66)*(R$37-Model!$D$65)/Model!$D$67))</f>
        <v/>
      </c>
      <c r="S38" s="29">
        <f>IF(S$37&lt;=Model!$D$65,Model!$D$76*Model!$D$66*S$37/Model!$D$65,MIN(Model!$D$76,Model!$D$76*Model!$D$66+(Model!$D$76-Model!$D$76*Model!$D$66)*(S$37-Model!$D$65)/Model!$D$67))</f>
        <v/>
      </c>
      <c r="T38" s="29">
        <f>IF(T$37&lt;=Model!$D$65,Model!$D$76*Model!$D$66*T$37/Model!$D$65,MIN(Model!$D$76,Model!$D$76*Model!$D$66+(Model!$D$76-Model!$D$76*Model!$D$66)*(T$37-Model!$D$65)/Model!$D$67))</f>
        <v/>
      </c>
      <c r="U38" s="29">
        <f>IF(U$37&lt;=Model!$D$65,Model!$D$76*Model!$D$66*U$37/Model!$D$65,MIN(Model!$D$76,Model!$D$76*Model!$D$66+(Model!$D$76-Model!$D$76*Model!$D$66)*(U$37-Model!$D$65)/Model!$D$67))</f>
        <v/>
      </c>
      <c r="V38" s="29">
        <f>IF(V$37&lt;=Model!$D$65,Model!$D$76*Model!$D$66*V$37/Model!$D$65,MIN(Model!$D$76,Model!$D$76*Model!$D$66+(Model!$D$76-Model!$D$76*Model!$D$66)*(V$37-Model!$D$65)/Model!$D$67))</f>
        <v/>
      </c>
      <c r="W38" s="29">
        <f>IF(W$37&lt;=Model!$D$65,Model!$D$76*Model!$D$66*W$37/Model!$D$65,MIN(Model!$D$76,Model!$D$76*Model!$D$66+(Model!$D$76-Model!$D$76*Model!$D$66)*(W$37-Model!$D$65)/Model!$D$67))</f>
        <v/>
      </c>
      <c r="X38" s="29">
        <f>IF(X$37&lt;=Model!$D$65,Model!$D$76*Model!$D$66*X$37/Model!$D$65,MIN(Model!$D$76,Model!$D$76*Model!$D$66+(Model!$D$76-Model!$D$76*Model!$D$66)*(X$37-Model!$D$65)/Model!$D$67))</f>
        <v/>
      </c>
      <c r="Y38" s="29">
        <f>IF(Y$37&lt;=Model!$D$65,Model!$D$76*Model!$D$66*Y$37/Model!$D$65,MIN(Model!$D$76,Model!$D$76*Model!$D$66+(Model!$D$76-Model!$D$76*Model!$D$66)*(Y$37-Model!$D$65)/Model!$D$67))</f>
        <v/>
      </c>
      <c r="Z38" s="5" t="n"/>
    </row>
    <row r="39">
      <c r="A39" s="5" t="inlineStr">
        <is>
          <t>Revenue</t>
        </is>
      </c>
      <c r="B39" s="32">
        <f>IF(B$37&lt;=Model!$D$65,Model!$D$38/Model!$D$65,MAX(Model!$D$37*B38,Model!$D$39/12))</f>
        <v/>
      </c>
      <c r="C39" s="32">
        <f>IF(C$37&lt;=Model!$D$65,Model!$D$38/Model!$D$65,MAX(Model!$D$37*C38,Model!$D$39/12))</f>
        <v/>
      </c>
      <c r="D39" s="32">
        <f>IF(D$37&lt;=Model!$D$65,Model!$D$38/Model!$D$65,MAX(Model!$D$37*D38,Model!$D$39/12))</f>
        <v/>
      </c>
      <c r="E39" s="32">
        <f>IF(E$37&lt;=Model!$D$65,Model!$D$38/Model!$D$65,MAX(Model!$D$37*E38,Model!$D$39/12))</f>
        <v/>
      </c>
      <c r="F39" s="32">
        <f>IF(F$37&lt;=Model!$D$65,Model!$D$38/Model!$D$65,MAX(Model!$D$37*F38,Model!$D$39/12))</f>
        <v/>
      </c>
      <c r="G39" s="32">
        <f>IF(G$37&lt;=Model!$D$65,Model!$D$38/Model!$D$65,MAX(Model!$D$37*G38,Model!$D$39/12))</f>
        <v/>
      </c>
      <c r="H39" s="32">
        <f>IF(H$37&lt;=Model!$D$65,Model!$D$38/Model!$D$65,MAX(Model!$D$37*H38,Model!$D$39/12))</f>
        <v/>
      </c>
      <c r="I39" s="32">
        <f>IF(I$37&lt;=Model!$D$65,Model!$D$38/Model!$D$65,MAX(Model!$D$37*I38,Model!$D$39/12))</f>
        <v/>
      </c>
      <c r="J39" s="32">
        <f>IF(J$37&lt;=Model!$D$65,Model!$D$38/Model!$D$65,MAX(Model!$D$37*J38,Model!$D$39/12))</f>
        <v/>
      </c>
      <c r="K39" s="32">
        <f>IF(K$37&lt;=Model!$D$65,Model!$D$38/Model!$D$65,MAX(Model!$D$37*K38,Model!$D$39/12))</f>
        <v/>
      </c>
      <c r="L39" s="32">
        <f>IF(L$37&lt;=Model!$D$65,Model!$D$38/Model!$D$65,MAX(Model!$D$37*L38,Model!$D$39/12))</f>
        <v/>
      </c>
      <c r="M39" s="32">
        <f>IF(M$37&lt;=Model!$D$65,Model!$D$38/Model!$D$65,MAX(Model!$D$37*M38,Model!$D$39/12))</f>
        <v/>
      </c>
      <c r="N39" s="32">
        <f>IF(N$37&lt;=Model!$D$65,Model!$D$38/Model!$D$65,MAX(Model!$D$37*N38,Model!$D$39/12))</f>
        <v/>
      </c>
      <c r="O39" s="32">
        <f>IF(O$37&lt;=Model!$D$65,Model!$D$38/Model!$D$65,MAX(Model!$D$37*O38,Model!$D$39/12))</f>
        <v/>
      </c>
      <c r="P39" s="32">
        <f>IF(P$37&lt;=Model!$D$65,Model!$D$38/Model!$D$65,MAX(Model!$D$37*P38,Model!$D$39/12))</f>
        <v/>
      </c>
      <c r="Q39" s="32">
        <f>IF(Q$37&lt;=Model!$D$65,Model!$D$38/Model!$D$65,MAX(Model!$D$37*Q38,Model!$D$39/12))</f>
        <v/>
      </c>
      <c r="R39" s="32">
        <f>IF(R$37&lt;=Model!$D$65,Model!$D$38/Model!$D$65,MAX(Model!$D$37*R38,Model!$D$39/12))</f>
        <v/>
      </c>
      <c r="S39" s="32">
        <f>IF(S$37&lt;=Model!$D$65,Model!$D$38/Model!$D$65,MAX(Model!$D$37*S38,Model!$D$39/12))</f>
        <v/>
      </c>
      <c r="T39" s="32">
        <f>IF(T$37&lt;=Model!$D$65,Model!$D$38/Model!$D$65,MAX(Model!$D$37*T38,Model!$D$39/12))</f>
        <v/>
      </c>
      <c r="U39" s="32">
        <f>IF(U$37&lt;=Model!$D$65,Model!$D$38/Model!$D$65,MAX(Model!$D$37*U38,Model!$D$39/12))</f>
        <v/>
      </c>
      <c r="V39" s="32">
        <f>IF(V$37&lt;=Model!$D$65,Model!$D$38/Model!$D$65,MAX(Model!$D$37*V38,Model!$D$39/12))</f>
        <v/>
      </c>
      <c r="W39" s="32">
        <f>IF(W$37&lt;=Model!$D$65,Model!$D$38/Model!$D$65,MAX(Model!$D$37*W38,Model!$D$39/12))</f>
        <v/>
      </c>
      <c r="X39" s="32">
        <f>IF(X$37&lt;=Model!$D$65,Model!$D$38/Model!$D$65,MAX(Model!$D$37*X38,Model!$D$39/12))</f>
        <v/>
      </c>
      <c r="Y39" s="32">
        <f>IF(Y$37&lt;=Model!$D$65,Model!$D$38/Model!$D$65,MAX(Model!$D$37*Y38,Model!$D$39/12))</f>
        <v/>
      </c>
      <c r="Z39" s="5" t="n"/>
    </row>
    <row r="40">
      <c r="A40" s="5" t="inlineStr">
        <is>
          <t>Fixed cost</t>
        </is>
      </c>
      <c r="B40" s="9">
        <f>Model!$D$87</f>
        <v/>
      </c>
      <c r="C40" s="9">
        <f>Model!$D$87</f>
        <v/>
      </c>
      <c r="D40" s="9">
        <f>Model!$D$87</f>
        <v/>
      </c>
      <c r="E40" s="9">
        <f>Model!$D$87</f>
        <v/>
      </c>
      <c r="F40" s="9">
        <f>Model!$D$87</f>
        <v/>
      </c>
      <c r="G40" s="9">
        <f>Model!$D$87</f>
        <v/>
      </c>
      <c r="H40" s="9">
        <f>Model!$D$87</f>
        <v/>
      </c>
      <c r="I40" s="9">
        <f>Model!$D$87</f>
        <v/>
      </c>
      <c r="J40" s="9">
        <f>Model!$D$87</f>
        <v/>
      </c>
      <c r="K40" s="9">
        <f>Model!$D$87</f>
        <v/>
      </c>
      <c r="L40" s="9">
        <f>Model!$D$87</f>
        <v/>
      </c>
      <c r="M40" s="9">
        <f>Model!$D$87</f>
        <v/>
      </c>
      <c r="N40" s="9">
        <f>Model!$D$87</f>
        <v/>
      </c>
      <c r="O40" s="9">
        <f>Model!$D$87</f>
        <v/>
      </c>
      <c r="P40" s="9">
        <f>Model!$D$87</f>
        <v/>
      </c>
      <c r="Q40" s="9">
        <f>Model!$D$87</f>
        <v/>
      </c>
      <c r="R40" s="9">
        <f>Model!$D$87</f>
        <v/>
      </c>
      <c r="S40" s="9">
        <f>Model!$D$87</f>
        <v/>
      </c>
      <c r="T40" s="9">
        <f>Model!$D$87</f>
        <v/>
      </c>
      <c r="U40" s="9">
        <f>Model!$D$87</f>
        <v/>
      </c>
      <c r="V40" s="9">
        <f>Model!$D$87</f>
        <v/>
      </c>
      <c r="W40" s="9">
        <f>Model!$D$87</f>
        <v/>
      </c>
      <c r="X40" s="9">
        <f>Model!$D$87</f>
        <v/>
      </c>
      <c r="Y40" s="9">
        <f>Model!$D$87</f>
        <v/>
      </c>
      <c r="Z40" s="5" t="n"/>
    </row>
    <row r="41">
      <c r="A41" s="5" t="inlineStr">
        <is>
          <t>Variable cost</t>
        </is>
      </c>
      <c r="B41" s="32">
        <f>Model!$D$84*B38</f>
        <v/>
      </c>
      <c r="C41" s="32">
        <f>Model!$D$84*C38</f>
        <v/>
      </c>
      <c r="D41" s="32">
        <f>Model!$D$84*D38</f>
        <v/>
      </c>
      <c r="E41" s="32">
        <f>Model!$D$84*E38</f>
        <v/>
      </c>
      <c r="F41" s="32">
        <f>Model!$D$84*F38</f>
        <v/>
      </c>
      <c r="G41" s="32">
        <f>Model!$D$84*G38</f>
        <v/>
      </c>
      <c r="H41" s="32">
        <f>Model!$D$84*H38</f>
        <v/>
      </c>
      <c r="I41" s="32">
        <f>Model!$D$84*I38</f>
        <v/>
      </c>
      <c r="J41" s="32">
        <f>Model!$D$84*J38</f>
        <v/>
      </c>
      <c r="K41" s="32">
        <f>Model!$D$84*K38</f>
        <v/>
      </c>
      <c r="L41" s="32">
        <f>Model!$D$84*L38</f>
        <v/>
      </c>
      <c r="M41" s="32">
        <f>Model!$D$84*M38</f>
        <v/>
      </c>
      <c r="N41" s="32">
        <f>Model!$D$84*N38</f>
        <v/>
      </c>
      <c r="O41" s="32">
        <f>Model!$D$84*O38</f>
        <v/>
      </c>
      <c r="P41" s="32">
        <f>Model!$D$84*P38</f>
        <v/>
      </c>
      <c r="Q41" s="32">
        <f>Model!$D$84*Q38</f>
        <v/>
      </c>
      <c r="R41" s="32">
        <f>Model!$D$84*R38</f>
        <v/>
      </c>
      <c r="S41" s="32">
        <f>Model!$D$84*S38</f>
        <v/>
      </c>
      <c r="T41" s="32">
        <f>Model!$D$84*T38</f>
        <v/>
      </c>
      <c r="U41" s="32">
        <f>Model!$D$84*U38</f>
        <v/>
      </c>
      <c r="V41" s="32">
        <f>Model!$D$84*V38</f>
        <v/>
      </c>
      <c r="W41" s="32">
        <f>Model!$D$84*W38</f>
        <v/>
      </c>
      <c r="X41" s="32">
        <f>Model!$D$84*X38</f>
        <v/>
      </c>
      <c r="Y41" s="32">
        <f>Model!$D$84*Y38</f>
        <v/>
      </c>
      <c r="Z41" s="5" t="n"/>
    </row>
    <row r="42">
      <c r="A42" s="5" t="inlineStr">
        <is>
          <t>Net cash flow</t>
        </is>
      </c>
      <c r="B42" s="32">
        <f>B39-B40-B41</f>
        <v/>
      </c>
      <c r="C42" s="32">
        <f>C39-C40-C41</f>
        <v/>
      </c>
      <c r="D42" s="32">
        <f>D39-D40-D41</f>
        <v/>
      </c>
      <c r="E42" s="32">
        <f>E39-E40-E41</f>
        <v/>
      </c>
      <c r="F42" s="32">
        <f>F39-F40-F41</f>
        <v/>
      </c>
      <c r="G42" s="32">
        <f>G39-G40-G41</f>
        <v/>
      </c>
      <c r="H42" s="32">
        <f>H39-H40-H41</f>
        <v/>
      </c>
      <c r="I42" s="32">
        <f>I39-I40-I41</f>
        <v/>
      </c>
      <c r="J42" s="32">
        <f>J39-J40-J41</f>
        <v/>
      </c>
      <c r="K42" s="32">
        <f>K39-K40-K41</f>
        <v/>
      </c>
      <c r="L42" s="32">
        <f>L39-L40-L41</f>
        <v/>
      </c>
      <c r="M42" s="32">
        <f>M39-M40-M41</f>
        <v/>
      </c>
      <c r="N42" s="32">
        <f>N39-N40-N41</f>
        <v/>
      </c>
      <c r="O42" s="32">
        <f>O39-O40-O41</f>
        <v/>
      </c>
      <c r="P42" s="32">
        <f>P39-P40-P41</f>
        <v/>
      </c>
      <c r="Q42" s="32">
        <f>Q39-Q40-Q41</f>
        <v/>
      </c>
      <c r="R42" s="32">
        <f>R39-R40-R41</f>
        <v/>
      </c>
      <c r="S42" s="32">
        <f>S39-S40-S41</f>
        <v/>
      </c>
      <c r="T42" s="32">
        <f>T39-T40-T41</f>
        <v/>
      </c>
      <c r="U42" s="32">
        <f>U39-U40-U41</f>
        <v/>
      </c>
      <c r="V42" s="32">
        <f>V39-V40-V41</f>
        <v/>
      </c>
      <c r="W42" s="32">
        <f>W39-W40-W41</f>
        <v/>
      </c>
      <c r="X42" s="32">
        <f>X39-X40-X41</f>
        <v/>
      </c>
      <c r="Y42" s="32">
        <f>Y39-Y40-Y41</f>
        <v/>
      </c>
      <c r="Z42" s="5" t="n"/>
    </row>
    <row r="43">
      <c r="A43" s="5" t="inlineStr">
        <is>
          <t>Cumulative cash</t>
        </is>
      </c>
      <c r="B43" s="32">
        <f>B42+INDEX(Inputs!$L$2:$L$121,MATCH("opening_cash",Inputs!$A$2:$A$121,0))</f>
        <v/>
      </c>
      <c r="C43" s="32">
        <f>C42+B43</f>
        <v/>
      </c>
      <c r="D43" s="32">
        <f>D42+C43</f>
        <v/>
      </c>
      <c r="E43" s="32">
        <f>E42+D43</f>
        <v/>
      </c>
      <c r="F43" s="32">
        <f>F42+E43</f>
        <v/>
      </c>
      <c r="G43" s="32">
        <f>G42+F43</f>
        <v/>
      </c>
      <c r="H43" s="32">
        <f>H42+G43</f>
        <v/>
      </c>
      <c r="I43" s="32">
        <f>I42+H43</f>
        <v/>
      </c>
      <c r="J43" s="32">
        <f>J42+I43</f>
        <v/>
      </c>
      <c r="K43" s="32">
        <f>K42+J43</f>
        <v/>
      </c>
      <c r="L43" s="32">
        <f>L42+K43</f>
        <v/>
      </c>
      <c r="M43" s="32">
        <f>M42+L43</f>
        <v/>
      </c>
      <c r="N43" s="32">
        <f>N42+M43</f>
        <v/>
      </c>
      <c r="O43" s="32">
        <f>O42+N43</f>
        <v/>
      </c>
      <c r="P43" s="32">
        <f>P42+O43</f>
        <v/>
      </c>
      <c r="Q43" s="32">
        <f>Q42+P43</f>
        <v/>
      </c>
      <c r="R43" s="32">
        <f>R42+Q43</f>
        <v/>
      </c>
      <c r="S43" s="32">
        <f>S42+R43</f>
        <v/>
      </c>
      <c r="T43" s="32">
        <f>T42+S43</f>
        <v/>
      </c>
      <c r="U43" s="32">
        <f>U42+T43</f>
        <v/>
      </c>
      <c r="V43" s="32">
        <f>V42+U43</f>
        <v/>
      </c>
      <c r="W43" s="32">
        <f>W42+V43</f>
        <v/>
      </c>
      <c r="X43" s="32">
        <f>X42+W43</f>
        <v/>
      </c>
      <c r="Y43" s="32">
        <f>Y42+X43</f>
        <v/>
      </c>
      <c r="Z43" s="5" t="n"/>
    </row>
    <row r="44">
      <c r="A44" s="5" t="inlineStr">
        <is>
          <t>Profitable month flag</t>
        </is>
      </c>
      <c r="B44" s="36">
        <f>IF(B42&gt;0,1,0)</f>
        <v/>
      </c>
      <c r="C44" s="36">
        <f>IF(C42&gt;0,1,0)</f>
        <v/>
      </c>
      <c r="D44" s="36">
        <f>IF(D42&gt;0,1,0)</f>
        <v/>
      </c>
      <c r="E44" s="36">
        <f>IF(E42&gt;0,1,0)</f>
        <v/>
      </c>
      <c r="F44" s="36">
        <f>IF(F42&gt;0,1,0)</f>
        <v/>
      </c>
      <c r="G44" s="36">
        <f>IF(G42&gt;0,1,0)</f>
        <v/>
      </c>
      <c r="H44" s="36">
        <f>IF(H42&gt;0,1,0)</f>
        <v/>
      </c>
      <c r="I44" s="36">
        <f>IF(I42&gt;0,1,0)</f>
        <v/>
      </c>
      <c r="J44" s="36">
        <f>IF(J42&gt;0,1,0)</f>
        <v/>
      </c>
      <c r="K44" s="36">
        <f>IF(K42&gt;0,1,0)</f>
        <v/>
      </c>
      <c r="L44" s="36">
        <f>IF(L42&gt;0,1,0)</f>
        <v/>
      </c>
      <c r="M44" s="36">
        <f>IF(M42&gt;0,1,0)</f>
        <v/>
      </c>
      <c r="N44" s="36">
        <f>IF(N42&gt;0,1,0)</f>
        <v/>
      </c>
      <c r="O44" s="36">
        <f>IF(O42&gt;0,1,0)</f>
        <v/>
      </c>
      <c r="P44" s="36">
        <f>IF(P42&gt;0,1,0)</f>
        <v/>
      </c>
      <c r="Q44" s="36">
        <f>IF(Q42&gt;0,1,0)</f>
        <v/>
      </c>
      <c r="R44" s="36">
        <f>IF(R42&gt;0,1,0)</f>
        <v/>
      </c>
      <c r="S44" s="36">
        <f>IF(S42&gt;0,1,0)</f>
        <v/>
      </c>
      <c r="T44" s="36">
        <f>IF(T42&gt;0,1,0)</f>
        <v/>
      </c>
      <c r="U44" s="36">
        <f>IF(U42&gt;0,1,0)</f>
        <v/>
      </c>
      <c r="V44" s="36">
        <f>IF(V42&gt;0,1,0)</f>
        <v/>
      </c>
      <c r="W44" s="36">
        <f>IF(W42&gt;0,1,0)</f>
        <v/>
      </c>
      <c r="X44" s="36">
        <f>IF(X42&gt;0,1,0)</f>
        <v/>
      </c>
      <c r="Y44" s="36">
        <f>IF(Y42&gt;0,1,0)</f>
        <v/>
      </c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inlineStr">
        <is>
          <t>First profitable month</t>
        </is>
      </c>
      <c r="B46" s="5">
        <f>IFERROR(MATCH(1,B44:Y44,0),"beyond 24")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inlineStr">
        <is>
          <t>Peak funding need (ZAR)</t>
        </is>
      </c>
      <c r="B47" s="37">
        <f>MAX(0,-MIN(B43:Y43))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inlineStr">
        <is>
          <t>Cumulative cash at month 24 (ZAR)</t>
        </is>
      </c>
      <c r="B48" s="37">
        <f>Y43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inlineStr">
        <is>
          <t>Revenue in year 2 (ZAR)</t>
        </is>
      </c>
      <c r="B49" s="37">
        <f>SUM(N39:Y39)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Sensitivity (Base scenario, one input at a time)</t>
        </is>
      </c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6" t="inlineStr">
        <is>
          <t>Break-even MAU for model (a)</t>
        </is>
      </c>
      <c r="B3" s="6" t="inlineStr">
        <is>
          <t>Input at low</t>
        </is>
      </c>
      <c r="C3" s="6" t="inlineStr">
        <is>
          <t>Input at high</t>
        </is>
      </c>
      <c r="D3" s="6" t="inlineStr">
        <is>
          <t>MAU at low</t>
        </is>
      </c>
      <c r="E3" s="6" t="inlineStr">
        <is>
          <t>MAU at high</t>
        </is>
      </c>
      <c r="F3" s="6" t="inlineStr">
        <is>
          <t>Swing</t>
        </is>
      </c>
      <c r="G3" s="6" t="inlineStr">
        <is>
          <t>Base MAU</t>
        </is>
      </c>
    </row>
    <row r="4">
      <c r="A4" s="5" t="inlineStr">
        <is>
          <t>Base case</t>
        </is>
      </c>
      <c r="B4" s="5" t="n"/>
      <c r="C4" s="5" t="n"/>
      <c r="D4" s="5" t="n"/>
      <c r="E4" s="5" t="n"/>
      <c r="F4" s="5" t="n"/>
      <c r="G4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</row>
    <row r="5">
      <c r="A5" s="5" t="inlineStr">
        <is>
          <t>lic_fee_per_mau</t>
        </is>
      </c>
      <c r="B5" s="5">
        <f>INDEX(Inputs!$D$2:$D$121,MATCH("lic_fee_per_mau",Inputs!$A$2:$A$121,0))</f>
        <v/>
      </c>
      <c r="C5" s="5">
        <f>INDEX(Inputs!$F$2:$F$121,MATCH("lic_fee_per_mau",Inputs!$A$2:$A$121,0))</f>
        <v/>
      </c>
      <c r="D5" s="38">
        <f>IFERROR(IF(INDEX(Inputs!$D$2:$D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D$2:$D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E5" s="38">
        <f>IFERROR(IF(INDEX(Inputs!$F$2:$F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F$2:$F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F5" s="38">
        <f>IFERROR(ABS(E5-D5),"")</f>
        <v/>
      </c>
      <c r="G5" s="38">
        <f>$G$4</f>
        <v/>
      </c>
    </row>
    <row r="6">
      <c r="A6" s="5" t="inlineStr">
        <is>
          <t>team_fixed</t>
        </is>
      </c>
      <c r="B6" s="5">
        <f>INDEX(Inputs!$D$2:$D$121,MATCH("team_fixed",Inputs!$A$2:$A$121,0))</f>
        <v/>
      </c>
      <c r="C6" s="5">
        <f>INDEX(Inputs!$F$2:$F$121,MATCH("team_fixed",Inputs!$A$2:$A$121,0))</f>
        <v/>
      </c>
      <c r="D6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D$2:$D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E6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F$2:$F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F6" s="38">
        <f>IFERROR(ABS(E6-D6),"")</f>
        <v/>
      </c>
      <c r="G6" s="38">
        <f>$G$4</f>
        <v/>
      </c>
    </row>
    <row r="7">
      <c r="A7" s="5" t="inlineStr">
        <is>
          <t>compliance_fixed</t>
        </is>
      </c>
      <c r="B7" s="5">
        <f>INDEX(Inputs!$D$2:$D$121,MATCH("compliance_fixed",Inputs!$A$2:$A$121,0))</f>
        <v/>
      </c>
      <c r="C7" s="5">
        <f>INDEX(Inputs!$F$2:$F$121,MATCH("compliance_fixed",Inputs!$A$2:$A$121,0))</f>
        <v/>
      </c>
      <c r="D7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D$2:$D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E7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F$2:$F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F7" s="38">
        <f>IFERROR(ABS(E7-D7),"")</f>
        <v/>
      </c>
      <c r="G7" s="38">
        <f>$G$4</f>
        <v/>
      </c>
    </row>
    <row r="8">
      <c r="A8" s="5" t="inlineStr">
        <is>
          <t>support_per_mau</t>
        </is>
      </c>
      <c r="B8" s="5">
        <f>INDEX(Inputs!$D$2:$D$121,MATCH("support_per_mau",Inputs!$A$2:$A$121,0))</f>
        <v/>
      </c>
      <c r="C8" s="5">
        <f>INDEX(Inputs!$F$2:$F$121,MATCH("support_per_mau",Inputs!$A$2:$A$121,0))</f>
        <v/>
      </c>
      <c r="D8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D$2:$D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D$2:$D$121,MATCH("support_per_mau",Inputs!$A$2:$A$121,0)))),""),"")</f>
        <v/>
      </c>
      <c r="E8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F$2:$F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F$2:$F$121,MATCH("support_per_mau",Inputs!$A$2:$A$121,0)))),""),"")</f>
        <v/>
      </c>
      <c r="F8" s="38">
        <f>IFERROR(ABS(E8-D8),"")</f>
        <v/>
      </c>
      <c r="G8" s="38">
        <f>$G$4</f>
        <v/>
      </c>
    </row>
    <row r="9">
      <c r="A9" s="5" t="inlineStr">
        <is>
          <t>hosting_per_mau</t>
        </is>
      </c>
      <c r="B9" s="5">
        <f>INDEX(Inputs!$D$2:$D$121,MATCH("hosting_per_mau",Inputs!$A$2:$A$121,0))</f>
        <v/>
      </c>
      <c r="C9" s="5">
        <f>INDEX(Inputs!$F$2:$F$121,MATCH("hosting_per_mau",Inputs!$A$2:$A$121,0))</f>
        <v/>
      </c>
      <c r="D9" s="38">
        <f>IFERROR(IF(INDEX(Inputs!$E$2:$E$121,MATCH("lic_fee_per_mau",Inputs!$A$2:$A$121,0))-(INDEX(Inputs!$D$2:$D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D$2:$D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E9" s="38">
        <f>IFERROR(IF(INDEX(Inputs!$E$2:$E$121,MATCH("lic_fee_per_mau",Inputs!$A$2:$A$121,0))-(INDEX(Inputs!$F$2:$F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F$2:$F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F9" s="38">
        <f>IFERROR(ABS(E9-D9),"")</f>
        <v/>
      </c>
      <c r="G9" s="38">
        <f>$G$4</f>
        <v/>
      </c>
    </row>
    <row r="10">
      <c r="A10" s="5" t="inlineStr">
        <is>
          <t>msgs_per_month</t>
        </is>
      </c>
      <c r="B10" s="5">
        <f>INDEX(Inputs!$D$2:$D$121,MATCH("msgs_per_month",Inputs!$A$2:$A$121,0))</f>
        <v/>
      </c>
      <c r="C10" s="5">
        <f>INDEX(Inputs!$F$2:$F$121,MATCH("msgs_per_month",Inputs!$A$2:$A$121,0))</f>
        <v/>
      </c>
      <c r="D10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D$2:$D$121,MATCH("msgs_per_month",Inputs!$A$2:$A$121,0))+INDEX(Inputs!$E$2:$E$121,MATCH("push_cost",Inputs!$A$2:$A$121,0))*INDEX(Inputs!$D$2:$D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D$2:$D$121,MATCH("msgs_per_month",Inputs!$A$2:$A$121,0))+INDEX(Inputs!$E$2:$E$121,MATCH("push_cost",Inputs!$A$2:$A$121,0))*INDEX(Inputs!$D$2:$D$121,MATCH("msgs_per_month",Inputs!$A$2:$A$121,0))+INDEX(Inputs!$E$2:$E$121,MATCH("support_per_mau",Inputs!$A$2:$A$121,0)))),""),"")</f>
        <v/>
      </c>
      <c r="E10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F$2:$F$121,MATCH("msgs_per_month",Inputs!$A$2:$A$121,0))+INDEX(Inputs!$E$2:$E$121,MATCH("push_cost",Inputs!$A$2:$A$121,0))*INDEX(Inputs!$F$2:$F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E$2:$E$121,MATCH("usd_zar",Inputs!$A$2:$A$121,0))*INDEX(Inputs!$F$2:$F$121,MATCH("msgs_per_month",Inputs!$A$2:$A$121,0))+INDEX(Inputs!$E$2:$E$121,MATCH("push_cost",Inputs!$A$2:$A$121,0))*INDEX(Inputs!$F$2:$F$121,MATCH("msgs_per_month",Inputs!$A$2:$A$121,0))+INDEX(Inputs!$E$2:$E$121,MATCH("support_per_mau",Inputs!$A$2:$A$121,0)))),""),"")</f>
        <v/>
      </c>
      <c r="F10" s="38">
        <f>IFERROR(ABS(E10-D10),"")</f>
        <v/>
      </c>
      <c r="G10" s="38">
        <f>$G$4</f>
        <v/>
      </c>
    </row>
    <row r="11">
      <c r="A11" s="5" t="inlineStr">
        <is>
          <t>tokens_out_msg</t>
        </is>
      </c>
      <c r="B11" s="5">
        <f>INDEX(Inputs!$D$2:$D$121,MATCH("tokens_out_msg",Inputs!$A$2:$A$121,0))</f>
        <v/>
      </c>
      <c r="C11" s="5">
        <f>INDEX(Inputs!$F$2:$F$121,MATCH("tokens_out_msg",Inputs!$A$2:$A$121,0))</f>
        <v/>
      </c>
      <c r="D11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D$2:$D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D$2:$D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E11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F$2:$F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F$2:$F$121,MATCH("tokens_out_msg",Inputs!$A$2:$A$121,0))*INDEX(Inputs!$E$2:$E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F11" s="38">
        <f>IFERROR(ABS(E11-D11),"")</f>
        <v/>
      </c>
      <c r="G11" s="38">
        <f>$G$4</f>
        <v/>
      </c>
    </row>
    <row r="12">
      <c r="A12" s="5" t="inlineStr">
        <is>
          <t>llm_out_price</t>
        </is>
      </c>
      <c r="B12" s="5">
        <f>INDEX(Inputs!$D$2:$D$121,MATCH("llm_out_price",Inputs!$A$2:$A$121,0))</f>
        <v/>
      </c>
      <c r="C12" s="5">
        <f>INDEX(Inputs!$F$2:$F$121,MATCH("llm_out_price",Inputs!$A$2:$A$121,0))</f>
        <v/>
      </c>
      <c r="D12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D$2:$D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D$2:$D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E12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F$2:$F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E$2:$E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F$2:$F$121,MATCH("llm_out_price",Inputs!$A$2:$A$121,0)))/1000000*INDEX(Inputs!$E$2:$E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F12" s="38">
        <f>IFERROR(ABS(E12-D12),"")</f>
        <v/>
      </c>
      <c r="G12" s="38">
        <f>$G$4</f>
        <v/>
      </c>
    </row>
    <row r="13">
      <c r="A13" s="5" t="inlineStr">
        <is>
          <t>usd_zar</t>
        </is>
      </c>
      <c r="B13" s="5">
        <f>INDEX(Inputs!$D$2:$D$121,MATCH("usd_zar",Inputs!$A$2:$A$121,0))</f>
        <v/>
      </c>
      <c r="C13" s="5">
        <f>INDEX(Inputs!$F$2:$F$121,MATCH("usd_zar",Inputs!$A$2:$A$121,0))</f>
        <v/>
      </c>
      <c r="D13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D$2:$D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D$2:$D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D$2:$D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E13" s="38">
        <f>IFERROR(IF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F$2:$F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&gt;0,(INDEX(Inputs!$E$2:$E$121,MATCH("team_fixed",Inputs!$A$2:$A$121,0))+INDEX(Inputs!$E$2:$E$121,MATCH("compliance_fixed",Inputs!$A$2:$A$121,0))+INDEX(Inputs!$E$2:$E$121,MATCH("db_base",Inputs!$A$2:$A$121,0))*INDEX(Inputs!$F$2:$F$121,MATCH("usd_zar",Inputs!$A$2:$A$121,0)))/(INDEX(Inputs!$E$2:$E$121,MATCH("lic_fee_per_mau",Inputs!$A$2:$A$121,0))-(INDEX(Inputs!$E$2:$E$121,MATCH("hosting_per_mau",Inputs!$A$2:$A$121,0))+INDEX(Inputs!$E$2:$E$121,MATCH("forecast_compute",Inputs!$A$2:$A$121,0))+(INDEX(Inputs!$E$2:$E$121,MATCH("tokens_in_msg",Inputs!$A$2:$A$121,0))*INDEX(Inputs!$E$2:$E$121,MATCH("llm_in_price",Inputs!$A$2:$A$121,0))+INDEX(Inputs!$E$2:$E$121,MATCH("tokens_out_msg",Inputs!$A$2:$A$121,0))*INDEX(Inputs!$E$2:$E$121,MATCH("llm_out_price",Inputs!$A$2:$A$121,0)))/1000000*INDEX(Inputs!$F$2:$F$121,MATCH("usd_zar",Inputs!$A$2:$A$121,0))*INDEX(Inputs!$E$2:$E$121,MATCH("msgs_per_month",Inputs!$A$2:$A$121,0))+INDEX(Inputs!$E$2:$E$121,MATCH("push_cost",Inputs!$A$2:$A$121,0))*INDEX(Inputs!$E$2:$E$121,MATCH("msgs_per_month",Inputs!$A$2:$A$121,0))+INDEX(Inputs!$E$2:$E$121,MATCH("support_per_mau",Inputs!$A$2:$A$121,0)))),""),"")</f>
        <v/>
      </c>
      <c r="F13" s="38">
        <f>IFERROR(ABS(E13-D13),"")</f>
        <v/>
      </c>
      <c r="G13" s="38">
        <f>$G$4</f>
        <v/>
      </c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6" t="inlineStr">
        <is>
          <t>Bank value per MAU per year (ZAR)</t>
        </is>
      </c>
      <c r="B16" s="6" t="inlineStr">
        <is>
          <t>Input at low</t>
        </is>
      </c>
      <c r="C16" s="6" t="inlineStr">
        <is>
          <t>Input at high</t>
        </is>
      </c>
      <c r="D16" s="6" t="inlineStr">
        <is>
          <t>Value at low</t>
        </is>
      </c>
      <c r="E16" s="6" t="inlineStr">
        <is>
          <t>Value at high</t>
        </is>
      </c>
      <c r="F16" s="6" t="inlineStr">
        <is>
          <t>Swing</t>
        </is>
      </c>
      <c r="G16" s="6" t="inlineStr">
        <is>
          <t>Base value</t>
        </is>
      </c>
    </row>
    <row r="17">
      <c r="A17" s="5" t="inlineStr">
        <is>
          <t>Base case</t>
        </is>
      </c>
      <c r="B17" s="5" t="n"/>
      <c r="C17" s="5" t="n"/>
      <c r="D17" s="5" t="n"/>
      <c r="E17" s="5" t="n"/>
      <c r="F17" s="5" t="n"/>
      <c r="G17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</row>
    <row r="18">
      <c r="A18" s="5" t="inlineStr">
        <is>
          <t>share_users_unpaid</t>
        </is>
      </c>
      <c r="B18" s="5">
        <f>INDEX(Inputs!$D$2:$D$121,MATCH("share_users_unpaid",Inputs!$A$2:$A$121,0))</f>
        <v/>
      </c>
      <c r="C18" s="5">
        <f>INDEX(Inputs!$F$2:$F$121,MATCH("share_users_unpaid",Inputs!$A$2:$A$121,0))</f>
        <v/>
      </c>
      <c r="D18" s="39">
        <f>(INDEX(Inputs!$D$2:$D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D$2:$D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18" s="39">
        <f>(INDEX(Inputs!$F$2:$F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F$2:$F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18" s="39">
        <f>ABS(E18-D18)</f>
        <v/>
      </c>
      <c r="G18" s="39">
        <f>$G$17</f>
        <v/>
      </c>
    </row>
    <row r="19">
      <c r="A19" s="5" t="inlineStr">
        <is>
          <t>unpaid_events_per_user</t>
        </is>
      </c>
      <c r="B19" s="5">
        <f>INDEX(Inputs!$D$2:$D$121,MATCH("unpaid_events_per_user",Inputs!$A$2:$A$121,0))</f>
        <v/>
      </c>
      <c r="C19" s="5">
        <f>INDEX(Inputs!$F$2:$F$121,MATCH("unpaid_events_per_user",Inputs!$A$2:$A$121,0))</f>
        <v/>
      </c>
      <c r="D19" s="39">
        <f>(INDEX(Inputs!$E$2:$E$121,MATCH("share_users_unpaid",Inputs!$A$2:$A$121,0))*INDEX(Inputs!$D$2:$D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D$2:$D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19" s="39">
        <f>(INDEX(Inputs!$E$2:$E$121,MATCH("share_users_unpaid",Inputs!$A$2:$A$121,0))*INDEX(Inputs!$F$2:$F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F$2:$F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19" s="39">
        <f>ABS(E19-D19)</f>
        <v/>
      </c>
      <c r="G19" s="39">
        <f>$G$17</f>
        <v/>
      </c>
    </row>
    <row r="20">
      <c r="A20" s="5" t="inlineStr">
        <is>
          <t>unpaid_reduction</t>
        </is>
      </c>
      <c r="B20" s="5">
        <f>INDEX(Inputs!$D$2:$D$121,MATCH("unpaid_reduction",Inputs!$A$2:$A$121,0))</f>
        <v/>
      </c>
      <c r="C20" s="5">
        <f>INDEX(Inputs!$F$2:$F$121,MATCH("unpaid_reduction",Inputs!$A$2:$A$121,0))</f>
        <v/>
      </c>
      <c r="D20" s="39">
        <f>(INDEX(Inputs!$E$2:$E$121,MATCH("share_users_unpaid",Inputs!$A$2:$A$121,0))*INDEX(Inputs!$E$2:$E$121,MATCH("unpaid_events_per_user",Inputs!$A$2:$A$121,0))*INDEX(Inputs!$D$2:$D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D$2:$D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20" s="39">
        <f>(INDEX(Inputs!$E$2:$E$121,MATCH("share_users_unpaid",Inputs!$A$2:$A$121,0))*INDEX(Inputs!$E$2:$E$121,MATCH("unpaid_events_per_user",Inputs!$A$2:$A$121,0))*INDEX(Inputs!$F$2:$F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F$2:$F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20" s="39">
        <f>ABS(E20-D20)</f>
        <v/>
      </c>
      <c r="G20" s="39">
        <f>$G$17</f>
        <v/>
      </c>
    </row>
    <row r="21">
      <c r="A21" s="5" t="inlineStr">
        <is>
          <t>bank_cost_per_unpaid</t>
        </is>
      </c>
      <c r="B21" s="5">
        <f>INDEX(Inputs!$D$2:$D$121,MATCH("bank_cost_per_unpaid",Inputs!$A$2:$A$121,0))</f>
        <v/>
      </c>
      <c r="C21" s="5">
        <f>INDEX(Inputs!$F$2:$F$121,MATCH("bank_cost_per_unpaid",Inputs!$A$2:$A$121,0))</f>
        <v/>
      </c>
      <c r="D21" s="39">
        <f>(INDEX(Inputs!$E$2:$E$121,MATCH("share_users_unpaid",Inputs!$A$2:$A$121,0))*INDEX(Inputs!$E$2:$E$121,MATCH("unpaid_events_per_user",Inputs!$A$2:$A$121,0))*INDEX(Inputs!$E$2:$E$121,MATCH("unpaid_reduction",Inputs!$A$2:$A$121,0)))*INDEX(Inputs!$D$2:$D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21" s="39">
        <f>(INDEX(Inputs!$E$2:$E$121,MATCH("share_users_unpaid",Inputs!$A$2:$A$121,0))*INDEX(Inputs!$E$2:$E$121,MATCH("unpaid_events_per_user",Inputs!$A$2:$A$121,0))*INDEX(Inputs!$E$2:$E$121,MATCH("unpaid_reduction",Inputs!$A$2:$A$121,0)))*INDEX(Inputs!$F$2:$F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21" s="39">
        <f>ABS(E21-D21)</f>
        <v/>
      </c>
      <c r="G21" s="39">
        <f>$G$17</f>
        <v/>
      </c>
    </row>
    <row r="22">
      <c r="A22" s="5" t="inlineStr">
        <is>
          <t>sb_unpaid_payt</t>
        </is>
      </c>
      <c r="B22" s="5">
        <f>INDEX(Inputs!$D$2:$D$121,MATCH("sb_unpaid_payt",Inputs!$A$2:$A$121,0))</f>
        <v/>
      </c>
      <c r="C22" s="5">
        <f>INDEX(Inputs!$F$2:$F$121,MATCH("sb_unpaid_payt",Inputs!$A$2:$A$121,0))</f>
        <v/>
      </c>
      <c r="D22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D$2:$D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22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F$2:$F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22" s="39">
        <f>ABS(E22-D22)</f>
        <v/>
      </c>
      <c r="G22" s="39">
        <f>$G$17</f>
        <v/>
      </c>
    </row>
    <row r="23">
      <c r="A23" s="5" t="inlineStr">
        <is>
          <t>deposit_uplift</t>
        </is>
      </c>
      <c r="B23" s="5">
        <f>INDEX(Inputs!$D$2:$D$121,MATCH("deposit_uplift",Inputs!$A$2:$A$121,0))</f>
        <v/>
      </c>
      <c r="C23" s="5">
        <f>INDEX(Inputs!$F$2:$F$121,MATCH("deposit_uplift",Inputs!$A$2:$A$121,0))</f>
        <v/>
      </c>
      <c r="D23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D$2:$D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23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F$2:$F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23" s="39">
        <f>ABS(E23-D23)</f>
        <v/>
      </c>
      <c r="G23" s="39">
        <f>$G$17</f>
        <v/>
      </c>
    </row>
    <row r="24">
      <c r="A24" s="5" t="inlineStr">
        <is>
          <t>nim_on_deposits</t>
        </is>
      </c>
      <c r="B24" s="5">
        <f>INDEX(Inputs!$D$2:$D$121,MATCH("nim_on_deposits",Inputs!$A$2:$A$121,0))</f>
        <v/>
      </c>
      <c r="C24" s="5">
        <f>INDEX(Inputs!$F$2:$F$121,MATCH("nim_on_deposits",Inputs!$A$2:$A$121,0))</f>
        <v/>
      </c>
      <c r="D24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D$2:$D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24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F$2:$F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24" s="39">
        <f>ABS(E24-D24)</f>
        <v/>
      </c>
      <c r="G24" s="39">
        <f>$G$17</f>
        <v/>
      </c>
    </row>
    <row r="25">
      <c r="A25" s="5" t="inlineStr">
        <is>
          <t>attrition_reduction</t>
        </is>
      </c>
      <c r="B25" s="5">
        <f>INDEX(Inputs!$D$2:$D$121,MATCH("attrition_reduction",Inputs!$A$2:$A$121,0))</f>
        <v/>
      </c>
      <c r="C25" s="5">
        <f>INDEX(Inputs!$F$2:$F$121,MATCH("attrition_reduction",Inputs!$A$2:$A$121,0))</f>
        <v/>
      </c>
      <c r="D25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D$2:$D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E25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F$2:$F$121,MATCH("attrition_reduction",Inputs!$A$2:$A$121,0))*INDEX(Inputs!$E$2:$E$121,MATCH("value_per_customer_year",Inputs!$A$2:$A$121,0))+INDEX(Inputs!$E$2:$E$121,MATCH("contact_avoided",Inputs!$A$2:$A$121,0))*INDEX(Inputs!$E$2:$E$121,MATCH("cost_per_call",Inputs!$A$2:$A$121,0))</f>
        <v/>
      </c>
      <c r="F25" s="39">
        <f>ABS(E25-D25)</f>
        <v/>
      </c>
      <c r="G25" s="39">
        <f>$G$17</f>
        <v/>
      </c>
    </row>
    <row r="26">
      <c r="A26" s="5" t="inlineStr">
        <is>
          <t>value_per_customer_year</t>
        </is>
      </c>
      <c r="B26" s="5">
        <f>INDEX(Inputs!$D$2:$D$121,MATCH("value_per_customer_year",Inputs!$A$2:$A$121,0))</f>
        <v/>
      </c>
      <c r="C26" s="5">
        <f>INDEX(Inputs!$F$2:$F$121,MATCH("value_per_customer_year",Inputs!$A$2:$A$121,0))</f>
        <v/>
      </c>
      <c r="D26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D$2:$D$121,MATCH("value_per_customer_year",Inputs!$A$2:$A$121,0))+INDEX(Inputs!$E$2:$E$121,MATCH("contact_avoided",Inputs!$A$2:$A$121,0))*INDEX(Inputs!$E$2:$E$121,MATCH("cost_per_call",Inputs!$A$2:$A$121,0))</f>
        <v/>
      </c>
      <c r="E26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F$2:$F$121,MATCH("value_per_customer_year",Inputs!$A$2:$A$121,0))+INDEX(Inputs!$E$2:$E$121,MATCH("contact_avoided",Inputs!$A$2:$A$121,0))*INDEX(Inputs!$E$2:$E$121,MATCH("cost_per_call",Inputs!$A$2:$A$121,0))</f>
        <v/>
      </c>
      <c r="F26" s="39">
        <f>ABS(E26-D26)</f>
        <v/>
      </c>
      <c r="G26" s="39">
        <f>$G$17</f>
        <v/>
      </c>
    </row>
    <row r="27">
      <c r="A27" s="5" t="inlineStr">
        <is>
          <t>contact_avoided</t>
        </is>
      </c>
      <c r="B27" s="5">
        <f>INDEX(Inputs!$D$2:$D$121,MATCH("contact_avoided",Inputs!$A$2:$A$121,0))</f>
        <v/>
      </c>
      <c r="C27" s="5">
        <f>INDEX(Inputs!$F$2:$F$121,MATCH("contact_avoided",Inputs!$A$2:$A$121,0))</f>
        <v/>
      </c>
      <c r="D27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D$2:$D$121,MATCH("contact_avoided",Inputs!$A$2:$A$121,0))*INDEX(Inputs!$E$2:$E$121,MATCH("cost_per_call",Inputs!$A$2:$A$121,0))</f>
        <v/>
      </c>
      <c r="E27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F$2:$F$121,MATCH("contact_avoided",Inputs!$A$2:$A$121,0))*INDEX(Inputs!$E$2:$E$121,MATCH("cost_per_call",Inputs!$A$2:$A$121,0))</f>
        <v/>
      </c>
      <c r="F27" s="39">
        <f>ABS(E27-D27)</f>
        <v/>
      </c>
      <c r="G27" s="39">
        <f>$G$17</f>
        <v/>
      </c>
    </row>
    <row r="28">
      <c r="A28" s="5" t="inlineStr">
        <is>
          <t>cost_per_call</t>
        </is>
      </c>
      <c r="B28" s="5">
        <f>INDEX(Inputs!$D$2:$D$121,MATCH("cost_per_call",Inputs!$A$2:$A$121,0))</f>
        <v/>
      </c>
      <c r="C28" s="5">
        <f>INDEX(Inputs!$F$2:$F$121,MATCH("cost_per_call",Inputs!$A$2:$A$121,0))</f>
        <v/>
      </c>
      <c r="D28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D$2:$D$121,MATCH("cost_per_call",Inputs!$A$2:$A$121,0))</f>
        <v/>
      </c>
      <c r="E28" s="39">
        <f>(INDEX(Inputs!$E$2:$E$121,MATCH("share_users_unpaid",Inputs!$A$2:$A$121,0))*INDEX(Inputs!$E$2:$E$121,MATCH("unpaid_events_per_user",Inputs!$A$2:$A$121,0))*INDEX(Inputs!$E$2:$E$121,MATCH("unpaid_reduction",Inputs!$A$2:$A$121,0)))*INDEX(Inputs!$E$2:$E$121,MATCH("bank_cost_per_unpaid",Inputs!$A$2:$A$121,0))-(INDEX(Inputs!$E$2:$E$121,MATCH("share_users_unpaid",Inputs!$A$2:$A$121,0))*INDEX(Inputs!$E$2:$E$121,MATCH("unpaid_events_per_user",Inputs!$A$2:$A$121,0))*INDEX(Inputs!$E$2:$E$121,MATCH("unpaid_reduction",Inputs!$A$2:$A$121,0)))*INDEX(Inputs!$E$2:$E$121,MATCH("sb_unpaid_payt",Inputs!$A$2:$A$121,0))+INDEX(Inputs!$E$2:$E$121,MATCH("deposit_uplift",Inputs!$A$2:$A$121,0))*INDEX(Inputs!$E$2:$E$121,MATCH("nim_on_deposits",Inputs!$A$2:$A$121,0))+INDEX(Inputs!$E$2:$E$121,MATCH("attrition_reduction",Inputs!$A$2:$A$121,0))*INDEX(Inputs!$E$2:$E$121,MATCH("value_per_customer_year",Inputs!$A$2:$A$121,0))+INDEX(Inputs!$E$2:$E$121,MATCH("contact_avoided",Inputs!$A$2:$A$121,0))*INDEX(Inputs!$F$2:$F$121,MATCH("cost_per_call",Inputs!$A$2:$A$121,0))</f>
        <v/>
      </c>
      <c r="F28" s="39">
        <f>ABS(E28-D28)</f>
        <v/>
      </c>
      <c r="G28" s="39">
        <f>$G$17</f>
        <v/>
      </c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35" t="inlineStr">
        <is>
          <t>Two-way: break-even MAU for model (a), licence fee per MAU (rows) against fixed cost per month (columns)</t>
        </is>
      </c>
      <c r="B31" s="5" t="n"/>
      <c r="C31" s="5" t="n"/>
      <c r="D31" s="5" t="n"/>
      <c r="E31" s="5" t="n"/>
      <c r="F31" s="5" t="n"/>
      <c r="G31" s="5" t="n"/>
    </row>
    <row r="32">
      <c r="A32" s="5" t="inlineStr">
        <is>
          <t>Licence fee / Fixed cost</t>
        </is>
      </c>
      <c r="B32" s="40" t="n">
        <v>200000</v>
      </c>
      <c r="C32" s="40" t="n">
        <v>310000</v>
      </c>
      <c r="D32" s="40" t="n">
        <v>450000</v>
      </c>
      <c r="E32" s="40" t="n">
        <v>600000</v>
      </c>
      <c r="F32" s="5" t="n"/>
      <c r="G32" s="5" t="n"/>
    </row>
    <row r="33">
      <c r="A33" s="41" t="n">
        <v>2</v>
      </c>
      <c r="B33" s="38">
        <f>IF($A33-Model!$C$84&gt;0,B$32/($A33-Model!$C$84),"never")</f>
        <v/>
      </c>
      <c r="C33" s="38">
        <f>IF($A33-Model!$C$84&gt;0,C$32/($A33-Model!$C$84),"never")</f>
        <v/>
      </c>
      <c r="D33" s="38">
        <f>IF($A33-Model!$C$84&gt;0,D$32/($A33-Model!$C$84),"never")</f>
        <v/>
      </c>
      <c r="E33" s="38">
        <f>IF($A33-Model!$C$84&gt;0,E$32/($A33-Model!$C$84),"never")</f>
        <v/>
      </c>
      <c r="F33" s="5" t="n"/>
      <c r="G33" s="5" t="n"/>
    </row>
    <row r="34">
      <c r="A34" s="41" t="n">
        <v>3</v>
      </c>
      <c r="B34" s="38">
        <f>IF($A34-Model!$C$84&gt;0,B$32/($A34-Model!$C$84),"never")</f>
        <v/>
      </c>
      <c r="C34" s="38">
        <f>IF($A34-Model!$C$84&gt;0,C$32/($A34-Model!$C$84),"never")</f>
        <v/>
      </c>
      <c r="D34" s="38">
        <f>IF($A34-Model!$C$84&gt;0,D$32/($A34-Model!$C$84),"never")</f>
        <v/>
      </c>
      <c r="E34" s="38">
        <f>IF($A34-Model!$C$84&gt;0,E$32/($A34-Model!$C$84),"never")</f>
        <v/>
      </c>
      <c r="F34" s="5" t="n"/>
      <c r="G34" s="5" t="n"/>
    </row>
    <row r="35">
      <c r="A35" s="41" t="n">
        <v>5</v>
      </c>
      <c r="B35" s="38">
        <f>IF($A35-Model!$C$84&gt;0,B$32/($A35-Model!$C$84),"never")</f>
        <v/>
      </c>
      <c r="C35" s="38">
        <f>IF($A35-Model!$C$84&gt;0,C$32/($A35-Model!$C$84),"never")</f>
        <v/>
      </c>
      <c r="D35" s="38">
        <f>IF($A35-Model!$C$84&gt;0,D$32/($A35-Model!$C$84),"never")</f>
        <v/>
      </c>
      <c r="E35" s="38">
        <f>IF($A35-Model!$C$84&gt;0,E$32/($A35-Model!$C$84),"never")</f>
        <v/>
      </c>
      <c r="F35" s="5" t="n"/>
      <c r="G35" s="5" t="n"/>
    </row>
    <row r="36">
      <c r="A36" s="41" t="n">
        <v>8</v>
      </c>
      <c r="B36" s="38">
        <f>IF($A36-Model!$C$84&gt;0,B$32/($A36-Model!$C$84),"never")</f>
        <v/>
      </c>
      <c r="C36" s="38">
        <f>IF($A36-Model!$C$84&gt;0,C$32/($A36-Model!$C$84),"never")</f>
        <v/>
      </c>
      <c r="D36" s="38">
        <f>IF($A36-Model!$C$84&gt;0,D$32/($A36-Model!$C$84),"never")</f>
        <v/>
      </c>
      <c r="E36" s="38">
        <f>IF($A36-Model!$C$84&gt;0,E$32/($A36-Model!$C$84),"never")</f>
        <v/>
      </c>
      <c r="F36" s="5" t="n"/>
      <c r="G36" s="5" t="n"/>
    </row>
    <row r="37">
      <c r="A37" s="41" t="n">
        <v>12</v>
      </c>
      <c r="B37" s="38">
        <f>IF($A37-Model!$C$84&gt;0,B$32/($A37-Model!$C$84),"never")</f>
        <v/>
      </c>
      <c r="C37" s="38">
        <f>IF($A37-Model!$C$84&gt;0,C$32/($A37-Model!$C$84),"never")</f>
        <v/>
      </c>
      <c r="D37" s="38">
        <f>IF($A37-Model!$C$84&gt;0,D$32/($A37-Model!$C$84),"never")</f>
        <v/>
      </c>
      <c r="E37" s="38">
        <f>IF($A37-Model!$C$84&gt;0,E$32/($A37-Model!$C$84),"never")</f>
        <v/>
      </c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inlineStr">
        <is>
          <t>Variable cost per MAU is the Base scenario embedded cost from the Model sheet. Fixed cost options and fees are blue inputs to vary.</t>
        </is>
      </c>
      <c r="B39" s="5" t="n"/>
      <c r="C39" s="5" t="n"/>
      <c r="D39" s="5" t="n"/>
      <c r="E39" s="5" t="n"/>
      <c r="F39" s="5" t="n"/>
      <c r="G39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  <col width="50" customWidth="1" min="4" max="4"/>
  </cols>
  <sheetData>
    <row r="1">
      <c r="A1" s="4" t="inlineStr">
        <is>
          <t>Metrics: what to track, and the values measured in this review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24" t="inlineStr">
        <is>
          <t>Product metrics to track in a pilot (definitions; no values exist yet)</t>
        </is>
      </c>
      <c r="B3" s="25" t="n"/>
      <c r="C3" s="25" t="n"/>
      <c r="D3" s="25" t="n"/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Definition</t>
        </is>
      </c>
      <c r="D4" s="6" t="inlineStr">
        <is>
          <t>Source</t>
        </is>
      </c>
    </row>
    <row r="5">
      <c r="A5" s="5" t="inlineStr">
        <is>
          <t>Activation</t>
        </is>
      </c>
      <c r="B5" s="15" t="inlineStr">
        <is>
          <t>not measured yet</t>
        </is>
      </c>
      <c r="C5" s="13" t="inlineStr">
        <is>
          <t>Share of offered users who complete consent and see a date</t>
        </is>
      </c>
      <c r="D5" s="13" t="inlineStr">
        <is>
          <t>Pilot analytics (needs consent)</t>
        </is>
      </c>
    </row>
    <row r="6">
      <c r="A6" s="5" t="inlineStr">
        <is>
          <t>Weekly active use</t>
        </is>
      </c>
      <c r="B6" s="15" t="inlineStr">
        <is>
          <t>not measured yet</t>
        </is>
      </c>
      <c r="C6" s="13" t="inlineStr">
        <is>
          <t>Users who open Home at least once in a week, over MAU</t>
        </is>
      </c>
      <c r="D6" s="13" t="inlineStr">
        <is>
          <t>Pilot analytics</t>
        </is>
      </c>
    </row>
    <row r="7">
      <c r="A7" s="5" t="inlineStr">
        <is>
          <t>Retention day 7 and day 30</t>
        </is>
      </c>
      <c r="B7" s="15" t="inlineStr">
        <is>
          <t>not measured yet</t>
        </is>
      </c>
      <c r="C7" s="13" t="inlineStr">
        <is>
          <t>Share of activated users active on day 7 and day 30</t>
        </is>
      </c>
      <c r="D7" s="13" t="inlineStr">
        <is>
          <t>Pilot analytics</t>
        </is>
      </c>
    </row>
    <row r="8">
      <c r="A8" s="5" t="inlineStr">
        <is>
          <t>Statement imports completed</t>
        </is>
      </c>
      <c r="B8" s="15" t="inlineStr">
        <is>
          <t>not measured yet</t>
        </is>
      </c>
      <c r="C8" s="13" t="inlineStr">
        <is>
          <t>Imports confirmed over imports started</t>
        </is>
      </c>
      <c r="D8" s="13" t="inlineStr">
        <is>
          <t>Pilot analytics</t>
        </is>
      </c>
    </row>
    <row r="9">
      <c r="A9" s="5" t="inlineStr">
        <is>
          <t>Messages opted in</t>
        </is>
      </c>
      <c r="B9" s="15" t="inlineStr">
        <is>
          <t>not measured yet</t>
        </is>
      </c>
      <c r="C9" s="13" t="inlineStr">
        <is>
          <t>Users with daily messages on over activated users</t>
        </is>
      </c>
      <c r="D9" s="13" t="inlineStr">
        <is>
          <t>Consent records</t>
        </is>
      </c>
    </row>
    <row r="10">
      <c r="A10" s="5" t="inlineStr">
        <is>
          <t>Forecast accuracy in the field</t>
        </is>
      </c>
      <c r="B10" s="15" t="inlineStr">
        <is>
          <t>not measured yet</t>
        </is>
      </c>
      <c r="C10" s="13" t="inlineStr">
        <is>
          <t>Mean absolute error in days between forecast date and actual run-out</t>
        </is>
      </c>
      <c r="D10" s="13" t="inlineStr">
        <is>
          <t>Stored forecasts plus later balances</t>
        </is>
      </c>
    </row>
    <row r="11">
      <c r="A11" s="5" t="inlineStr">
        <is>
          <t>State transitions acted on</t>
        </is>
      </c>
      <c r="B11" s="15" t="inlineStr">
        <is>
          <t>not measured yet</t>
        </is>
      </c>
      <c r="C11" s="13" t="inlineStr">
        <is>
          <t>Users who use Plan or change spend within 3 days of a Tight or Short state</t>
        </is>
      </c>
      <c r="D11" s="13" t="inlineStr">
        <is>
          <t>Pilot analytics</t>
        </is>
      </c>
    </row>
    <row r="12">
      <c r="A12" s="5" t="n"/>
      <c r="B12" s="5" t="n"/>
      <c r="C12" s="5" t="n"/>
      <c r="D12" s="5" t="n"/>
    </row>
    <row r="13">
      <c r="A13" s="24" t="inlineStr">
        <is>
          <t>Forecast quality (synthetic backtest, seeds, 90 day history, all personas)</t>
        </is>
      </c>
      <c r="B13" s="25" t="n"/>
      <c r="C13" s="25" t="n"/>
      <c r="D13" s="25" t="n"/>
    </row>
    <row r="14">
      <c r="A14" s="6" t="inlineStr">
        <is>
          <t>Metric</t>
        </is>
      </c>
      <c r="B14" s="6" t="inlineStr">
        <is>
          <t>Value</t>
        </is>
      </c>
      <c r="C14" s="6" t="inlineStr">
        <is>
          <t>Definition</t>
        </is>
      </c>
      <c r="D14" s="6" t="inlineStr">
        <is>
          <t>Source</t>
        </is>
      </c>
    </row>
    <row r="15">
      <c r="A15" s="5" t="inlineStr">
        <is>
          <t>Mean absolute error, days</t>
        </is>
      </c>
      <c r="B15" s="15" t="n">
        <v>2.073</v>
      </c>
      <c r="C15" s="13" t="inlineStr">
        <is>
          <t>Forecast runway date against held-out actual</t>
        </is>
      </c>
      <c r="D15" s="13" t="inlineStr">
        <is>
          <t>docs/review/backtest/results/summary_headline.csv</t>
        </is>
      </c>
    </row>
    <row r="16">
      <c r="A16" s="5" t="inlineStr">
        <is>
          <t>Within 3 days, percent</t>
        </is>
      </c>
      <c r="B16" s="17" t="n">
        <v>0.7806999999999999</v>
      </c>
      <c r="C16" s="13" t="inlineStr">
        <is>
          <t>Share of cases within three days</t>
        </is>
      </c>
      <c r="D16" s="13" t="inlineStr">
        <is>
          <t>same file</t>
        </is>
      </c>
    </row>
    <row r="17">
      <c r="A17" s="5" t="inlineStr">
        <is>
          <t>Range band coverage, percent</t>
        </is>
      </c>
      <c r="B17" s="17" t="n">
        <v>0.7177</v>
      </c>
      <c r="C17" s="13" t="inlineStr">
        <is>
          <t>Actual date inside the stated range</t>
        </is>
      </c>
      <c r="D17" s="13" t="inlineStr">
        <is>
          <t>same file</t>
        </is>
      </c>
    </row>
    <row r="18">
      <c r="A18" s="5" t="inlineStr">
        <is>
          <t>State accuracy, percent</t>
        </is>
      </c>
      <c r="B18" s="17" t="n">
        <v>0.7185</v>
      </c>
      <c r="C18" s="13" t="inlineStr">
        <is>
          <t>Shown state right in hindsight (20 percent buffer rule)</t>
        </is>
      </c>
      <c r="D18" s="13" t="inlineStr">
        <is>
          <t>same file</t>
        </is>
      </c>
    </row>
    <row r="19">
      <c r="A19" s="5" t="inlineStr">
        <is>
          <t>False reassurance, percent</t>
        </is>
      </c>
      <c r="B19" s="17" t="n">
        <v>0.0759</v>
      </c>
      <c r="C19" s="13" t="inlineStr">
        <is>
          <t>Shown covered, actually short</t>
        </is>
      </c>
      <c r="D19" s="13" t="inlineStr">
        <is>
          <t>same file</t>
        </is>
      </c>
    </row>
    <row r="20">
      <c r="A20" s="5" t="inlineStr">
        <is>
          <t>Mean absolute error with 14 days of history, days</t>
        </is>
      </c>
      <c r="B20" s="15" t="n">
        <v>5.4</v>
      </c>
      <c r="C20" s="13" t="inlineStr">
        <is>
          <t>Seeds, 14 day history</t>
        </is>
      </c>
      <c r="D20" s="13" t="inlineStr">
        <is>
          <t>docs/review/data-scientist.md, Backtest summary</t>
        </is>
      </c>
    </row>
    <row r="21">
      <c r="A21" s="5" t="n"/>
      <c r="B21" s="5" t="n"/>
      <c r="C21" s="5" t="n"/>
      <c r="D21" s="5" t="n"/>
    </row>
    <row r="22">
      <c r="A22" s="24" t="inlineStr">
        <is>
          <t>Technical metrics (measured 2026-10-20 at commit d114497)</t>
        </is>
      </c>
      <c r="B22" s="25" t="n"/>
      <c r="C22" s="25" t="n"/>
      <c r="D22" s="25" t="n"/>
    </row>
    <row r="23">
      <c r="A23" s="6" t="inlineStr">
        <is>
          <t>Metric</t>
        </is>
      </c>
      <c r="B23" s="6" t="inlineStr">
        <is>
          <t>Value</t>
        </is>
      </c>
      <c r="C23" s="6" t="inlineStr">
        <is>
          <t>Definition</t>
        </is>
      </c>
      <c r="D23" s="6" t="inlineStr">
        <is>
          <t>Source</t>
        </is>
      </c>
    </row>
    <row r="24">
      <c r="A24" s="5" t="inlineStr">
        <is>
          <t>Unit tests</t>
        </is>
      </c>
      <c r="B24" s="15" t="n">
        <v>66</v>
      </c>
      <c r="C24" s="13" t="inlineStr">
        <is>
          <t>Vitest, all passing</t>
        </is>
      </c>
      <c r="D24" s="13" t="inlineStr">
        <is>
          <t>docs/review/prep/checks.md</t>
        </is>
      </c>
    </row>
    <row r="25">
      <c r="A25" s="5" t="inlineStr">
        <is>
          <t>Playwright tests</t>
        </is>
      </c>
      <c r="B25" s="15" t="n">
        <v>221</v>
      </c>
      <c r="C25" s="13" t="inlineStr">
        <is>
          <t>Screenshot, flow, phone and axe suites, all passing</t>
        </is>
      </c>
      <c r="D25" s="13" t="inlineStr">
        <is>
          <t>docs/review/prep/playwright.txt</t>
        </is>
      </c>
    </row>
    <row r="26">
      <c r="A26" s="5" t="inlineStr">
        <is>
          <t>Unit coverage, engine statements</t>
        </is>
      </c>
      <c r="B26" s="17" t="n">
        <v>0.9755</v>
      </c>
      <c r="C26" s="13" t="inlineStr">
        <is>
          <t>src/engine</t>
        </is>
      </c>
      <c r="D26" s="13" t="inlineStr">
        <is>
          <t>docs/review/prep/coverage.txt</t>
        </is>
      </c>
    </row>
    <row r="27">
      <c r="A27" s="5" t="inlineStr">
        <is>
          <t>Unit coverage, all statements</t>
        </is>
      </c>
      <c r="B27" s="17" t="n">
        <v>0.1995</v>
      </c>
      <c r="C27" s="13" t="inlineStr">
        <is>
          <t>All of src</t>
        </is>
      </c>
      <c r="D27" s="13" t="inlineStr">
        <is>
          <t>docs/review/prep/coverage.txt</t>
        </is>
      </c>
    </row>
    <row r="28">
      <c r="A28" s="5" t="inlineStr">
        <is>
          <t>Lighthouse mobile performance, landing</t>
        </is>
      </c>
      <c r="B28" s="15" t="n">
        <v>94</v>
      </c>
      <c r="C28" s="13" t="inlineStr">
        <is>
          <t>Simulated slow 4G, 4x CPU</t>
        </is>
      </c>
      <c r="D28" s="13" t="inlineStr">
        <is>
          <t>docs/review/prep/lighthouse/landing.report.json</t>
        </is>
      </c>
    </row>
    <row r="29">
      <c r="A29" s="5" t="inlineStr">
        <is>
          <t>Lighthouse mobile accessibility, landing</t>
        </is>
      </c>
      <c r="B29" s="15" t="n">
        <v>100</v>
      </c>
      <c r="C29" s="13" t="inlineStr">
        <is>
          <t>Same run</t>
        </is>
      </c>
      <c r="D29" s="13" t="inlineStr">
        <is>
          <t>same file</t>
        </is>
      </c>
    </row>
    <row r="30">
      <c r="A30" s="5" t="inlineStr">
        <is>
          <t>JavaScript bundle, gzip KB</t>
        </is>
      </c>
      <c r="B30" s="15" t="n">
        <v>141.9</v>
      </c>
      <c r="C30" s="13" t="inlineStr">
        <is>
          <t>One file including all 11 locales</t>
        </is>
      </c>
      <c r="D30" s="13" t="inlineStr">
        <is>
          <t>docs/review/prep/audit.md</t>
        </is>
      </c>
    </row>
    <row r="31">
      <c r="A31" s="5" t="inlineStr">
        <is>
          <t>Home first paint, cold, throttled, ms</t>
        </is>
      </c>
      <c r="B31" s="15" t="n">
        <v>1188</v>
      </c>
      <c r="C31" s="13" t="inlineStr">
        <is>
          <t>390 px, 4x CPU, 1.6 Mbps</t>
        </is>
      </c>
      <c r="D31" s="13" t="inlineStr">
        <is>
          <t>docs/review/prep/perf-home.json</t>
        </is>
      </c>
    </row>
    <row r="32">
      <c r="A32" s="5" t="inlineStr">
        <is>
          <t>axe violations in the app test suite</t>
        </is>
      </c>
      <c r="B32" s="15" t="n">
        <v>0</v>
      </c>
      <c r="C32" s="13" t="inlineStr">
        <is>
          <t>tests/a11y.spec.ts, both themes, 390 and 1280</t>
        </is>
      </c>
      <c r="D32" s="13" t="inlineStr">
        <is>
          <t>docs/review/prep/playwright.txt</t>
        </is>
      </c>
    </row>
    <row r="33">
      <c r="A33" s="5" t="inlineStr">
        <is>
          <t>npm audit, production dependencies</t>
        </is>
      </c>
      <c r="B33" s="15" t="n">
        <v>2</v>
      </c>
      <c r="C33" s="13" t="inlineStr">
        <is>
          <t>Moderate, react-router</t>
        </is>
      </c>
      <c r="D33" s="13" t="inlineStr">
        <is>
          <t>docs/review/prep/audit.md</t>
        </is>
      </c>
    </row>
    <row r="34">
      <c r="A34" s="5" t="inlineStr">
        <is>
          <t>npm audit, all dependencies</t>
        </is>
      </c>
      <c r="B34" s="15" t="n">
        <v>12</v>
      </c>
      <c r="C34" s="13" t="inlineStr">
        <is>
          <t>2 critical, 5 high, 5 moderate, dev tooling</t>
        </is>
      </c>
      <c r="D34" s="13" t="inlineStr">
        <is>
          <t>docs/review/prep/audit.md</t>
        </is>
      </c>
    </row>
    <row r="35">
      <c r="A35" s="5" t="inlineStr">
        <is>
          <t>Production licences</t>
        </is>
      </c>
      <c r="B35" s="15" t="inlineStr">
        <is>
          <t>MIT 18, OFL 2, ISC 1, Apache 1</t>
        </is>
      </c>
      <c r="C35" s="13" t="inlineStr">
        <is>
          <t>license-checker summary</t>
        </is>
      </c>
      <c r="D35" s="13" t="inlineStr">
        <is>
          <t>docs/review/prep/audit.md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2026-10-20T15:18:25Z</dcterms:created>
  <dcterms:modified xsi:type="dcterms:W3CDTF">2026-10-20T15:18:25Z</dcterms:modified>
</cp:coreProperties>
</file>